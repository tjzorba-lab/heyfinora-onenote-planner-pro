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ashboard" sheetId="2" state="visible" r:id="rId4"/>
    <sheet name="Products" sheetId="3" state="visible" r:id="rId5"/>
    <sheet name="Month Matrix" sheetId="4" state="visible" r:id="rId6"/>
    <sheet name="Calendar" sheetId="5" state="visible" r:id="rId7"/>
    <sheet name="Keywords" sheetId="6" state="visible" r:id="rId8"/>
    <sheet name="OneNote Plan" sheetId="7" state="visible" r:id="rId9"/>
  </sheets>
  <definedNames>
    <definedName function="false" hidden="true" localSheetId="2" name="_xlnm._FilterDatabase" vbProcedure="false">Products!$A$1:$R$41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<sst xmlns="http://schemas.openxmlformats.org/spreadsheetml/2006/main" count="922" uniqueCount="463">
  <si>
    <t xml:space="preserve">Etsy Digital Products — Seasonal Demand</t>
  </si>
  <si>
    <t xml:space="preserve">Yeh file kya hai</t>
  </si>
  <si>
    <t xml:space="preserve">Pichle 3–4 saal (2022–2026) ke Etsy keyword data par based research: 40 products, mahina-war calendar, keywords, aur OneNote plan.</t>
  </si>
  <si>
    <t xml:space="preserve">Sheets</t>
  </si>
  <si>
    <t xml:space="preserve">Products = 40 products ki master list | Calendar = Jan–Dec kya bechein / kya list karein | Month Matrix = har product kis mahine peak karta hai | Dashboard = auto-count summary | Keywords = numbers aur sources | OneNote Plan = aap ke niche ka action plan</t>
  </si>
  <si>
    <t xml:space="preserve">Aap kya edit karein</t>
  </si>
  <si>
    <t xml:space="preserve">Products sheet mein PEELE (yellow) columns: 'Mera Status' (dropdown), 'Meri Price ($)', 'Meri Notes'. Dashboard khud update ho jayega.</t>
  </si>
  <si>
    <t xml:space="preserve">Example</t>
  </si>
  <si>
    <t xml:space="preserve">Status = 'Listed', Meri Price = 4.99, Notes = 'Sep 2026 mein list kiya'</t>
  </si>
  <si>
    <t xml:space="preserve">CTR ke baare mein warning</t>
  </si>
  <si>
    <t xml:space="preserve">Etsy asli CTR, sales ya search volume public nahi karta. Saare numbers eRank, EverBee, RankHero, Listify ke ANDAZE hain. eRank ka 'CTR' clicks-per-search hai aur 100% se upar ja sakta hai (125%+ = bohat high intent).</t>
  </si>
  <si>
    <t xml:space="preserve">Sources ki limit</t>
  </si>
  <si>
    <t xml:space="preserve">Saare sources search-result summaries se parhe gaye (full pages DNS/403 ki wajah se nahi khule). Har number aage use karne se pehle asal page par check karein.</t>
  </si>
  <si>
    <t xml:space="preserve">Price '~' wali</t>
  </si>
  <si>
    <t xml:space="preserve">Products sheet mein Notes mein 'Price ~ andaza' likha ho to woh price source mein nahi thi, doosri listings se andaza hai.</t>
  </si>
  <si>
    <t xml:space="preserve">Golden rule</t>
  </si>
  <si>
    <t xml:space="preserve">Listing peak se 6–12 hafte (Christmas ke liye ~3 mahine) pehle live karein. 'December is decided in September.'</t>
  </si>
  <si>
    <t xml:space="preserve">Aaj ka kaam (21 Oct 2026)</t>
  </si>
  <si>
    <t xml:space="preserve">Christmas gift tags, NYE games, 2027 planners abhi list karein; Black Friday sale (15–30%) 2–3 hafte pehle set karein; Valentine's Nov–Dec mein list karein.</t>
  </si>
  <si>
    <t xml:space="preserve">Full report</t>
  </si>
  <si>
    <t xml:space="preserve">reports/Etsy digital products seasonal demand.md</t>
  </si>
  <si>
    <t xml:space="preserve">Dashboard (auto-update)</t>
  </si>
  <si>
    <t xml:space="preserve">Season / Event</t>
  </si>
  <si>
    <t xml:space="preserve">Products</t>
  </si>
  <si>
    <t xml:space="preserve">Competition</t>
  </si>
  <si>
    <t xml:space="preserve">Christmas</t>
  </si>
  <si>
    <t xml:space="preserve">Very high</t>
  </si>
  <si>
    <t xml:space="preserve">Halloween</t>
  </si>
  <si>
    <t xml:space="preserve">High</t>
  </si>
  <si>
    <t xml:space="preserve">Fall</t>
  </si>
  <si>
    <t xml:space="preserve">Medium</t>
  </si>
  <si>
    <t xml:space="preserve">Thanksgiving</t>
  </si>
  <si>
    <t xml:space="preserve">Low</t>
  </si>
  <si>
    <t xml:space="preserve">New Year</t>
  </si>
  <si>
    <t xml:space="preserve">Evergreen</t>
  </si>
  <si>
    <t xml:space="preserve">Valentine's</t>
  </si>
  <si>
    <t xml:space="preserve">Mera Status</t>
  </si>
  <si>
    <t xml:space="preserve">Ramadan/Eid</t>
  </si>
  <si>
    <t xml:space="preserve">Idea</t>
  </si>
  <si>
    <t xml:space="preserve">Easter</t>
  </si>
  <si>
    <t xml:space="preserve">Banana hai</t>
  </si>
  <si>
    <t xml:space="preserve">Mother's Day</t>
  </si>
  <si>
    <t xml:space="preserve">In progress</t>
  </si>
  <si>
    <t xml:space="preserve">Father's Day</t>
  </si>
  <si>
    <t xml:space="preserve">Listed</t>
  </si>
  <si>
    <t xml:space="preserve">Graduation</t>
  </si>
  <si>
    <t xml:space="preserve">Best seller</t>
  </si>
  <si>
    <t xml:space="preserve">Wedding</t>
  </si>
  <si>
    <t xml:space="preserve">Skip</t>
  </si>
  <si>
    <t xml:space="preserve">Back to School</t>
  </si>
  <si>
    <t xml:space="preserve">Total</t>
  </si>
  <si>
    <t xml:space="preserve">Price stats</t>
  </si>
  <si>
    <t xml:space="preserve">Value</t>
  </si>
  <si>
    <t xml:space="preserve">Avg min price</t>
  </si>
  <si>
    <t xml:space="preserve">Mahina</t>
  </si>
  <si>
    <t xml:space="preserve">Peak products</t>
  </si>
  <si>
    <t xml:space="preserve">Avg max price</t>
  </si>
  <si>
    <t xml:space="preserve">Jan</t>
  </si>
  <si>
    <t xml:space="preserve">Sab se sasta</t>
  </si>
  <si>
    <t xml:space="preserve">Feb</t>
  </si>
  <si>
    <t xml:space="preserve">Sab se mehnga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</si>
  <si>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</si>
  <si>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</si>
  <si>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</si>
  <si>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</si>
  <si>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</si>
  <si>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</si>
  <si>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</si>
  <si>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</si>
  <si>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</si>
  <si>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</si>
  <si>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#</t>
  </si>
  <si>
    <t xml:space="preserve">Product</t>
  </si>
  <si>
    <t xml:space="preserve">Category</t>
  </si>
  <si>
    <t xml:space="preserve">Peak months</t>
  </si>
  <si>
    <t xml:space="preserve">Listing kab karein</t>
  </si>
  <si>
    <t xml:space="preserve">List month (no.)</t>
  </si>
  <si>
    <t xml:space="preserve">Demand signal</t>
  </si>
  <si>
    <t xml:space="preserve">Source</t>
  </si>
  <si>
    <t xml:space="preserve">Source link</t>
  </si>
  <si>
    <t xml:space="preserve">Min price ($)</t>
  </si>
  <si>
    <t xml:space="preserve">Max price ($)</t>
  </si>
  <si>
    <t xml:space="preserve">Avg price ($)</t>
  </si>
  <si>
    <t xml:space="preserve">Notes</t>
  </si>
  <si>
    <t xml:space="preserve">Meri Price ($)</t>
  </si>
  <si>
    <t xml:space="preserve">Meri Notes</t>
  </si>
  <si>
    <t xml:space="preserve">Christmas PNG / sublimation bundle</t>
  </si>
  <si>
    <t xml:space="preserve">SVG/PNG</t>
  </si>
  <si>
    <t xml:space="preserve">Oct–Dec</t>
  </si>
  <si>
    <t xml:space="preserve">"christmas png" eRank CTR 125%+ (Oct 2025)</t>
  </si>
  <si>
    <t xml:space="preserve">eRank Oct 2025</t>
  </si>
  <si>
    <t xml:space="preserve">https://help.erank.com/blog/top-keywords-on-etsy-october-2025/</t>
  </si>
  <si>
    <t xml:space="preserve">Price ~ andaza</t>
  </si>
  <si>
    <t xml:space="preserve">Christmas SVG (Cricut) bundle</t>
  </si>
  <si>
    <t xml:space="preserve">Sep–Nov</t>
  </si>
  <si>
    <t xml:space="preserve">"christmas svg" ~1,550 searches, 140%+ CTR (AU, Nov 2025)</t>
  </si>
  <si>
    <t xml:space="preserve">eRank AU Nov 2025</t>
  </si>
  <si>
    <t xml:space="preserve">https://help.erank.com/blog/australias-top-etsy-keywords-november-2025/</t>
  </si>
  <si>
    <t xml:space="preserve">Crafters jaldi khareedte hain</t>
  </si>
  <si>
    <t xml:space="preserve">Printable Christmas gift tags (12 Days set)</t>
  </si>
  <si>
    <t xml:space="preserve">Printable</t>
  </si>
  <si>
    <t xml:space="preserve">Nov–Dec</t>
  </si>
  <si>
    <t xml:space="preserve">Weekly sales mein top Christmas tag seller</t>
  </si>
  <si>
    <t xml:space="preserve">EtsyHunt</t>
  </si>
  <si>
    <t xml:space="preserve">https://etsyhunt.com/best-etsy-christmas-cards</t>
  </si>
  <si>
    <t xml:space="preserve">25–50% discounts aam</t>
  </si>
  <si>
    <t xml:space="preserve">Christmas party games printable</t>
  </si>
  <si>
    <t xml:space="preserve">Printable game</t>
  </si>
  <si>
    <t xml:space="preserve">Sep–Oct</t>
  </si>
  <si>
    <t xml:space="preserve">Q4 ke top digital ideas mein</t>
  </si>
  <si>
    <t xml:space="preserve">The First Bloom</t>
  </si>
  <si>
    <t xml:space="preserve">https://thefirstbloom.com/10-best-digital-products-to-sell-on-etsy-in-q4-2026/</t>
  </si>
  <si>
    <t xml:space="preserve">Free versions bhi hain; price ~ andaza</t>
  </si>
  <si>
    <t xml:space="preserve">Christmas list / Letter to Santa template</t>
  </si>
  <si>
    <t xml:space="preserve">"Lower-competition" option</t>
  </si>
  <si>
    <t xml:space="preserve">Made Urban</t>
  </si>
  <si>
    <t xml:space="preserve">https://www.madeurban.com/blog/the-best-digital-products-to-sell-on-etsy/</t>
  </si>
  <si>
    <t xml:space="preserve">Printable advent calendar</t>
  </si>
  <si>
    <t xml:space="preserve">Nov (1 Dec se pehle)</t>
  </si>
  <si>
    <t xml:space="preserve">"advent calendar" AU Nov 2024 top 20</t>
  </si>
  <si>
    <t xml:space="preserve">eRank AU Nov 2024</t>
  </si>
  <si>
    <t xml:space="preserve">https://help.erank.com/blog/australias-top-etsy-keywords-november-2024/</t>
  </si>
  <si>
    <t xml:space="preserve">Elf on the Shelf printable kit</t>
  </si>
  <si>
    <t xml:space="preserve">Kits bik rahe hain; free versions bohat</t>
  </si>
  <si>
    <t xml:space="preserve">Gumroad example</t>
  </si>
  <si>
    <t xml:space="preserve">https://alittlepinchofperf.gumroad.com/l/xprrt</t>
  </si>
  <si>
    <t xml:space="preserve">Medium–high</t>
  </si>
  <si>
    <t xml:space="preserve">Christmas kids worksheets / coloring pages</t>
  </si>
  <si>
    <t xml:space="preserve">Coloring/Kids</t>
  </si>
  <si>
    <t xml:space="preserve">Holiday bestseller list mein</t>
  </si>
  <si>
    <t xml:space="preserve">Snazzy Designs</t>
  </si>
  <si>
    <t xml:space="preserve">https://snazzydesignsforever.com/seasonal-digital-products-to-sell-on-etsy/</t>
  </si>
  <si>
    <t xml:space="preserve">Holiday planner + gift tracker + Christmas budget</t>
  </si>
  <si>
    <t xml:space="preserve">Planner</t>
  </si>
  <si>
    <t xml:space="preserve">Holiday planners/calendars bestseller</t>
  </si>
  <si>
    <t xml:space="preserve">OneNote version bhi ban sakta hai</t>
  </si>
  <si>
    <t xml:space="preserve">Vintage Grandma's Christmas recipe cards / supper-club invites</t>
  </si>
  <si>
    <t xml:space="preserve">Etsy 2025 trend themes (physical; digital = inference)</t>
  </si>
  <si>
    <t xml:space="preserve">Sunset</t>
  </si>
  <si>
    <t xml:space="preserve">https://www.sunset.com/home-garden/design/etsy-holiday-trends-2025</t>
  </si>
  <si>
    <t xml:space="preserve">Low (unverified)</t>
  </si>
  <si>
    <t xml:space="preserve">Unverified idea</t>
  </si>
  <si>
    <t xml:space="preserve">Halloween party printables (invite, banner, toppers)</t>
  </si>
  <si>
    <t xml:space="preserve">Mid-Aug</t>
  </si>
  <si>
    <t xml:space="preserve">"Exploding" in 2025</t>
  </si>
  <si>
    <t xml:space="preserve">Marmalead Fall 2025</t>
  </si>
  <si>
    <t xml:space="preserve">https://blog.marmalead.com/top-selling-fall-products-on-etsy/</t>
  </si>
  <si>
    <t xml:space="preserve">Halloween SVG bundle</t>
  </si>
  <si>
    <t xml:space="preserve">+19% YoY claim (unverified)</t>
  </si>
  <si>
    <t xml:space="preserve">CedCommerce</t>
  </si>
  <si>
    <t xml:space="preserve">https://cedcommerce.com/blog/etsy-halloween-2025-trends-report-whats-selling-high-converting-keywords-to-use-now/</t>
  </si>
  <si>
    <t xml:space="preserve">Halloween / horror coloring pages</t>
  </si>
  <si>
    <t xml:space="preserve">Coloring pages +23% claim; bestseller badges</t>
  </si>
  <si>
    <t xml:space="preserve">CedCommerce / Etsy</t>
  </si>
  <si>
    <t xml:space="preserve">https://www.etsy.com/market/best_selling_halloween_printables</t>
  </si>
  <si>
    <t xml:space="preserve">Fall / autumn wall art printable</t>
  </si>
  <si>
    <t xml:space="preserve">Wall art</t>
  </si>
  <si>
    <t xml:space="preserve">Aug–Nov</t>
  </si>
  <si>
    <t xml:space="preserve">Top fall digital download</t>
  </si>
  <si>
    <t xml:space="preserve">InsightAgent</t>
  </si>
  <si>
    <t xml:space="preserve">https://www.insightagent.app/trends/etsy-trend-report-2026-fall</t>
  </si>
  <si>
    <t xml:space="preserve">Multi-format listings aage</t>
  </si>
  <si>
    <t xml:space="preserve">Thanksgiving menu + place card template</t>
  </si>
  <si>
    <t xml:space="preserve">Template</t>
  </si>
  <si>
    <t xml:space="preserve">Early Oct</t>
  </si>
  <si>
    <t xml:space="preserve">High-volume; buyers 2–3 hafte pehle khareedte hain</t>
  </si>
  <si>
    <t xml:space="preserve">Gratitude journal printable</t>
  </si>
  <si>
    <t xml:space="preserve">Journal</t>
  </si>
  <si>
    <t xml:space="preserve">Oct–Nov</t>
  </si>
  <si>
    <t xml:space="preserve">2025 mein jaldi peak</t>
  </si>
  <si>
    <t xml:space="preserve">NYE games bundle (trivia, Would You Rather, bingo)</t>
  </si>
  <si>
    <t xml:space="preserve">26–31 Dec</t>
  </si>
  <si>
    <t xml:space="preserve">Payhip pack $9; Etsy quiz ~$5.56</t>
  </si>
  <si>
    <t xml:space="preserve">Payhip / Etsy</t>
  </si>
  <si>
    <t xml:space="preserve">https://www.etsy.com/listing/1383855027</t>
  </si>
  <si>
    <t xml:space="preserve">Free trivia bohat</t>
  </si>
  <si>
    <t xml:space="preserve">2027 dated digital planner (GoodNotes/OneNote)</t>
  </si>
  <si>
    <t xml:space="preserve">Dec–Jan</t>
  </si>
  <si>
    <t xml:space="preserve">Aug–Sep</t>
  </si>
  <si>
    <t xml:space="preserve">Planner bundle ~29.3K reviews; January peak</t>
  </si>
  <si>
    <t xml:space="preserve">Etsy / Listify</t>
  </si>
  <si>
    <t xml:space="preserve">https://www.listifyai.net/keyword/digital-planner</t>
  </si>
  <si>
    <t xml:space="preserve">Undated / multi-year (2027–2028) planner</t>
  </si>
  <si>
    <t xml:space="preserve">Jan–Mar + Aug–Sep</t>
  </si>
  <si>
    <t xml:space="preserve">"digital planner" ~27,100 searches/mahina</t>
  </si>
  <si>
    <t xml:space="preserve">RankHero</t>
  </si>
  <si>
    <t xml:space="preserve">https://www.rankhero.com/keywords/digital-planner</t>
  </si>
  <si>
    <t xml:space="preserve">Tools mein trend ka ikhtilaf (−55% vs +38%)</t>
  </si>
  <si>
    <t xml:space="preserve">Goal-setting / vision planner template</t>
  </si>
  <si>
    <t xml:space="preserve">2026 goal planner ~552 reviews at ~$2</t>
  </si>
  <si>
    <t xml:space="preserve">Etsy</t>
  </si>
  <si>
    <t xml:space="preserve">https://www.etsy.com/market/trending_digital_planner_2026_best_seller</t>
  </si>
  <si>
    <t xml:space="preserve">Monthly budget spreadsheet (Google Sheets/Excel)</t>
  </si>
  <si>
    <t xml:space="preserve">Spreadsheet</t>
  </si>
  <si>
    <t xml:space="preserve">Jan + saara saal</t>
  </si>
  <si>
    <t xml:space="preserve">Best seller ~8.6K sales (SimplyOrganizedPro)</t>
  </si>
  <si>
    <t xml:space="preserve">Goodreads repost</t>
  </si>
  <si>
    <t xml:space="preserve">https://www.goodreads.com/author_blog_posts/24510163-160k-in-2-years-selling-spreadsheet-templates</t>
  </si>
  <si>
    <t xml:space="preserve">Low–medium</t>
  </si>
  <si>
    <t xml:space="preserve">Sab se wazeh evergreen opening</t>
  </si>
  <si>
    <t xml:space="preserve">Resume / CV template (Canva, Word, Docs)</t>
  </si>
  <si>
    <t xml:space="preserve">Jan + May–Jun</t>
  </si>
  <si>
    <t xml:space="preserve">Dec aur Apr</t>
  </si>
  <si>
    <t xml:space="preserve">#3 digital term: 7,630 searches</t>
  </si>
  <si>
    <t xml:space="preserve">State of the Art</t>
  </si>
  <si>
    <t xml:space="preserve">https://stateoftheart.beehiiv.com/p/digital-products-to-sell-on-etsy-in-2026</t>
  </si>
  <si>
    <t xml:space="preserve">Classroom Valentine exchange cards (meme/gamer)</t>
  </si>
  <si>
    <t xml:space="preserve">Jan–14 Feb</t>
  </si>
  <si>
    <t xml:space="preserve">"valentine downloads" #1 UK (Feb 2026)</t>
  </si>
  <si>
    <t xml:space="preserve">eRank UK Feb 2026</t>
  </si>
  <si>
    <t xml:space="preserve">https://help.erank.com/blog/the-uks-top-etsy-keywords-february-2026/</t>
  </si>
  <si>
    <t xml:space="preserve">Couples printables (love coupons, date-night cards)</t>
  </si>
  <si>
    <t xml:space="preserve">Jan–Feb</t>
  </si>
  <si>
    <t xml:space="preserve">"valentines day gift" #4 US Q1 2026</t>
  </si>
  <si>
    <t xml:space="preserve">eRank Q1 2026</t>
  </si>
  <si>
    <t xml:space="preserve">https://help.erank.com/blog/top-etsy-searches-q1-2026/</t>
  </si>
  <si>
    <t xml:space="preserve">Galentine's party games / cards</t>
  </si>
  <si>
    <t xml:space="preserve">"galentine gift" ~74,000 searches (Jan 2025)</t>
  </si>
  <si>
    <t xml:space="preserve">eRank Jan 2025</t>
  </si>
  <si>
    <t xml:space="preserve">https://help.erank.com/blog/top-keywords-on-etsy-january-2025/</t>
  </si>
  <si>
    <t xml:space="preserve">Ramadan countdown calendar / kids activity pack</t>
  </si>
  <si>
    <t xml:space="preserve">Dec–Jan (2027)</t>
  </si>
  <si>
    <t xml:space="preserve">Kids activity listing ~1k reviews</t>
  </si>
  <si>
    <t xml:space="preserve">https://www.etsy.com/market/ramadan_printables</t>
  </si>
  <si>
    <t xml:space="preserve">Ramadan 2027 ~8 Feb; heavy discounting</t>
  </si>
  <si>
    <t xml:space="preserve">Eid gift tags / coloring cards</t>
  </si>
  <si>
    <t xml:space="preserve">Feb–Mar (2027)</t>
  </si>
  <si>
    <t xml:space="preserve">Eid coloring listing ~993 reviews</t>
  </si>
  <si>
    <t xml:space="preserve">https://www.etsy.com/market/eid_printables</t>
  </si>
  <si>
    <t xml:space="preserve">Eid al-Fitr 2027 ~10 Mar</t>
  </si>
  <si>
    <t xml:space="preserve">Easter coloring pages + egg-hunt pack</t>
  </si>
  <si>
    <t xml:space="preserve">Mar–Apr</t>
  </si>
  <si>
    <t xml:space="preserve">"easter" #14 (Mar 2025); list 8–12 weeks pehle</t>
  </si>
  <si>
    <t xml:space="preserve">eRank Mar 2025</t>
  </si>
  <si>
    <t xml:space="preserve">https://help.erank.com/blog/top-keywords-on-etsy-march-2025/</t>
  </si>
  <si>
    <t xml:space="preserve">Easter 2027: 28 Mar</t>
  </si>
  <si>
    <t xml:space="preserve">Mother's Day printable card / coupon book / certificate</t>
  </si>
  <si>
    <t xml:space="preserve">Late Apr–May</t>
  </si>
  <si>
    <t xml:space="preserve">Cards/certificates bare sellers; "gift for mom" keyword</t>
  </si>
  <si>
    <t xml:space="preserve">eRank Q2 2025</t>
  </si>
  <si>
    <t xml:space="preserve">https://help.erank.com/blog/upcoming-2nd-quarter-2025-holidays/</t>
  </si>
  <si>
    <t xml:space="preserve">Mother's Day 2027: 9 May</t>
  </si>
  <si>
    <t xml:space="preserve">Father's Day printable card / certificate</t>
  </si>
  <si>
    <t xml:space="preserve">May–mid-Jun</t>
  </si>
  <si>
    <t xml:space="preserve">"fathers day" #18 (May 2025)</t>
  </si>
  <si>
    <t xml:space="preserve">eRank May 2025</t>
  </si>
  <si>
    <t xml:space="preserve">https://help.erank.com/blog/top-keywords-on-etsy-may-2025/</t>
  </si>
  <si>
    <t xml:space="preserve">Father's Day 2027: 20 Jun</t>
  </si>
  <si>
    <t xml:space="preserve">Graduation printables (party signs, cards)</t>
  </si>
  <si>
    <t xml:space="preserve">May–Jun</t>
  </si>
  <si>
    <t xml:space="preserve">"graduation gift" #7 → #165 (demand gir rahi)</t>
  </si>
  <si>
    <t xml:space="preserve">Girti demand</t>
  </si>
  <si>
    <t xml:space="preserve">Bridal shower game bundle (editable)</t>
  </si>
  <si>
    <t xml:space="preserve">Saara saal, summer peak</t>
  </si>
  <si>
    <t xml:space="preserve">Kabhi bhi</t>
  </si>
  <si>
    <t xml:space="preserve">45-game bundle $6.49, 11.3k reviews</t>
  </si>
  <si>
    <t xml:space="preserve">https://www.etsy.com/market/bridal_shower_games_editable</t>
  </si>
  <si>
    <t xml:space="preserve">Baby shower game templates</t>
  </si>
  <si>
    <t xml:space="preserve">Saara saal</t>
  </si>
  <si>
    <t xml:space="preserve">Bundle ~5.1k reviews</t>
  </si>
  <si>
    <t xml:space="preserve">https://www.etsy.com/market/baby_shower_game_templates</t>
  </si>
  <si>
    <t xml:space="preserve">Wedding invitation / sign templates</t>
  </si>
  <si>
    <t xml:space="preserve">Spring–summer</t>
  </si>
  <si>
    <t xml:space="preserve">Jan–Mar</t>
  </si>
  <si>
    <t xml:space="preserve">Etsy SS2026 trend aesthetics</t>
  </si>
  <si>
    <t xml:space="preserve">Stylist</t>
  </si>
  <si>
    <t xml:space="preserve">https://www.stylist.co.uk/home/etsy-spring-summer-2026-trends/1067354</t>
  </si>
  <si>
    <t xml:space="preserve">Gothic Romance / Botanical Bride styles</t>
  </si>
  <si>
    <t xml:space="preserve">Printable teacher planner</t>
  </si>
  <si>
    <t xml:space="preserve">Jul–Aug</t>
  </si>
  <si>
    <t xml:space="preserve">880 (Jul) / 1,000 (Aug) searches</t>
  </si>
  <si>
    <t xml:space="preserve">https://www.rankhero.com/keywords/printable-teacher-planner</t>
  </si>
  <si>
    <t xml:space="preserve">OneNote teacher version bhi</t>
  </si>
  <si>
    <t xml:space="preserve">Meet the Teacher / Teacher Favorite Things</t>
  </si>
  <si>
    <t xml:space="preserve">Jul–Sep</t>
  </si>
  <si>
    <t xml:space="preserve">Aik listing ki hazaron sales</t>
  </si>
  <si>
    <t xml:space="preserve">https://www.etsy.com/market/teacher_printables</t>
  </si>
  <si>
    <t xml:space="preserve">Classroom decor / bulletin board kit</t>
  </si>
  <si>
    <t xml:space="preserve">"school" traffic peak ~28 Aug 2025</t>
  </si>
  <si>
    <t xml:space="preserve">Etsy Community</t>
  </si>
  <si>
    <t xml:space="preserve">https://community.etsy.com/forum/etsy-success-300/topic/etsy-insights-whats-trending-for-back-to-school-185685/</t>
  </si>
  <si>
    <t xml:space="preserve">Editable school-year calendar 2027–28</t>
  </si>
  <si>
    <t xml:space="preserve">Editable Google Slides calendars bik rahe</t>
  </si>
  <si>
    <t xml:space="preserve">Thank-you card templates</t>
  </si>
  <si>
    <t xml:space="preserve">Aik listing ki reportedly 306K+ sales</t>
  </si>
  <si>
    <t xml:space="preserve">The Leap</t>
  </si>
  <si>
    <t xml:space="preserve">https://www.theleap.co/blog/digital-products-to-sell-on-etsy/</t>
  </si>
  <si>
    <t xml:space="preserve">OneNote work / project management planner</t>
  </si>
  <si>
    <t xml:space="preserve">Saara saal + Jan + Aug–Sep</t>
  </si>
  <si>
    <t xml:space="preserve">Aug–Sep, phir har waqt</t>
  </si>
  <si>
    <t xml:space="preserve">OneNote shop 113.9K lifetime sales</t>
  </si>
  <si>
    <t xml:space="preserve">https://www.etsy.com/market/onenote_digital_planner</t>
  </si>
  <si>
    <t xml:space="preserve">Medium (andaza)</t>
  </si>
  <si>
    <t xml:space="preserve">Aap ka niche — work buyers</t>
  </si>
  <si>
    <t xml:space="preserve">Note:</t>
  </si>
  <si>
    <t xml:space="preserve">Competition = listing counts/discounting dekh kar qualitative raye. Demand signals eRank/RankHero/EverBee estimates hain, asli Etsy CTR nahi. Blue numbers = source/andaza se hardcoded; Avg price = formula.</t>
  </si>
  <si>
    <t xml:space="preserve">Season</t>
  </si>
  <si>
    <t xml:space="preserve">List month</t>
  </si>
  <si>
    <t xml:space="preserve">L</t>
  </si>
  <si>
    <t xml:space="preserve">●</t>
  </si>
  <si>
    <t xml:space="preserve">Peak products is mahine (count)</t>
  </si>
  <si>
    <t xml:space="preserve">Is mahine list karne wale (count)</t>
  </si>
  <si>
    <t xml:space="preserve">Legend: ● (green) = peak selling month | L (blue) = listing live karne ka mahina | Khali = normal/low</t>
  </si>
  <si>
    <t xml:space="preserve">Buyers kya khareed rahe hain (peak)</t>
  </si>
  <si>
    <t xml:space="preserve">Is mahine kya LIST karein (aage ke liye)</t>
  </si>
  <si>
    <t xml:space="preserve">Season strength</t>
  </si>
  <si>
    <t xml:space="preserve">Key dates (2026–27)</t>
  </si>
  <si>
    <t xml:space="preserve">New Year planners, budget spreadsheets, goal templates, resume templates, Valentine's ka ramp</t>
  </si>
  <si>
    <t xml:space="preserve">Easter coloring/activity packs, Ramadan/Eid printables, St. Patrick's (data nahi mila)</t>
  </si>
  <si>
    <t xml:space="preserve">Valentine's (1–14 Feb peak), Galentine's, Ramadan countdown/kids packs</t>
  </si>
  <si>
    <t xml:space="preserve">Mother's Day cards/coupons, wedding templates, graduation printables</t>
  </si>
  <si>
    <t xml:space="preserve">Valentine's 14 Feb; Ramadan 2027 ~8 Feb</t>
  </si>
  <si>
    <t xml:space="preserve">Easter, Eid printables, wedding planning</t>
  </si>
  <si>
    <t xml:space="preserve">Mother's Day (aakhri mauqa), Father's Day, graduation</t>
  </si>
  <si>
    <t xml:space="preserve">Eid al-Fitr ~10 Mar; Easter 28 Mar 2027</t>
  </si>
  <si>
    <t xml:space="preserve">Late April se Mother's Day sales, wedding/shower games</t>
  </si>
  <si>
    <t xml:space="preserve">Father's Day, teacher/back-to-school printables (May tak live)</t>
  </si>
  <si>
    <t xml:space="preserve">Mother's Day, graduation, resume (graduates), Father's Day ramp</t>
  </si>
  <si>
    <t xml:space="preserve">School-year calendars 2027–28, Meet the Teacher, classroom decor</t>
  </si>
  <si>
    <t xml:space="preserve">Mother's Day (US) 9 May 2027</t>
  </si>
  <si>
    <t xml:space="preserve">Father's Day, weddings. Saal ka slow mahina (~15% neeche)</t>
  </si>
  <si>
    <t xml:space="preserve">Halloween designs shuru, academic planners finish</t>
  </si>
  <si>
    <t xml:space="preserve">Father's Day 20 Jun 2027</t>
  </si>
  <si>
    <t xml:space="preserve">Back-to-school shuru, teacher planners. Slow (~14% neeche)</t>
  </si>
  <si>
    <t xml:space="preserve">Halloween invites/SVGs, fall wall art, Christmas SVG/PNG tayyari</t>
  </si>
  <si>
    <t xml:space="preserve">Back-to-school peak (~28 Aug wala hafta), academic/undated planners</t>
  </si>
  <si>
    <t xml:space="preserve">Christmas SVG/PNG, 2027 dated planners, Halloween (mid-Aug tak live)</t>
  </si>
  <si>
    <t xml:space="preserve">Halloween spike, fall decor, Christmas searches uthna shuru</t>
  </si>
  <si>
    <t xml:space="preserve">Christmas gift tags, cards, party games, advent calendars, Thanksgiving printables</t>
  </si>
  <si>
    <t xml:space="preserve">Halloween peak, Christmas PNG/SVG (CTR 125%+), Thanksgiving</t>
  </si>
  <si>
    <t xml:space="preserve">Elf on the Shelf, NYE games, holiday planners; BFCM sale set karein</t>
  </si>
  <si>
    <t xml:space="preserve">Halloween 31 Oct</t>
  </si>
  <si>
    <t xml:space="preserve">Christmas peak (~15 Nov–10 Dec), Black Friday/Cyber Monday, Thanksgiving, advent</t>
  </si>
  <si>
    <t xml:space="preserve">Valentine's (late Nov–Dec), goal-setting templates, NYE games (aakhri mauqa)</t>
  </si>
  <si>
    <t xml:space="preserve">Thanksgiving 26 Nov 2026; BF 27 Nov</t>
  </si>
  <si>
    <t xml:space="preserve">Last-minute printable gifts (mid-Dec), NYE games (26–31 Dec), 2027 planners</t>
  </si>
  <si>
    <t xml:space="preserve">Valentine's (December tak har haal mein), budget/resume templates refresh</t>
  </si>
  <si>
    <t xml:space="preserve">Christmas 25 Dec; NYE 31 Dec</t>
  </si>
  <si>
    <t xml:space="preserve">Note: Calendar sources ka synthesis hai, Google Trends se verify nahi. Lead time rule: peak se 6–12 hafte pehle list karein.</t>
  </si>
  <si>
    <t xml:space="preserve">Keyword</t>
  </si>
  <si>
    <t xml:space="preserve">Metric</t>
  </si>
  <si>
    <t xml:space="preserve">Period</t>
  </si>
  <si>
    <t xml:space="preserve">Region</t>
  </si>
  <si>
    <t xml:space="preserve">Link</t>
  </si>
  <si>
    <t xml:space="preserve">christmas</t>
  </si>
  <si>
    <t xml:space="preserve">eRank rank (full year)</t>
  </si>
  <si>
    <t xml:space="preserve">#3 (2023 mein #21)</t>
  </si>
  <si>
    <t xml:space="preserve">2024</t>
  </si>
  <si>
    <t xml:space="preserve">US</t>
  </si>
  <si>
    <t xml:space="preserve">eRank 2024</t>
  </si>
  <si>
    <t xml:space="preserve">https://help.erank.com/blog/trend-report/top-etsy-searches-in-2024/</t>
  </si>
  <si>
    <t xml:space="preserve">eRank rank Q4 / CTR</t>
  </si>
  <si>
    <t xml:space="preserve">#2 / ~145%</t>
  </si>
  <si>
    <t xml:space="preserve">Q4 2025</t>
  </si>
  <si>
    <t xml:space="preserve">eRank Q4 2025</t>
  </si>
  <si>
    <t xml:space="preserve">https://help.erank.com/blog/top-etsy-searches-in-q4-2025/</t>
  </si>
  <si>
    <t xml:space="preserve">Monthly searches / CTR</t>
  </si>
  <si>
    <t xml:space="preserve">~119K / 150%</t>
  </si>
  <si>
    <t xml:space="preserve">Nov 2025</t>
  </si>
  <si>
    <t xml:space="preserve">eRank Nov 2025</t>
  </si>
  <si>
    <t xml:space="preserve">https://help.erank.com/blog/top-keywords-on-etsy-november-2025/</t>
  </si>
  <si>
    <t xml:space="preserve">christmas png</t>
  </si>
  <si>
    <t xml:space="preserve">eRank CTR</t>
  </si>
  <si>
    <t xml:space="preserve">125%+</t>
  </si>
  <si>
    <t xml:space="preserve">Oct 2025</t>
  </si>
  <si>
    <t xml:space="preserve">christmas svg</t>
  </si>
  <si>
    <t xml:space="preserve">Searches / CTR</t>
  </si>
  <si>
    <t xml:space="preserve">~1,550 / 140%+</t>
  </si>
  <si>
    <t xml:space="preserve">AU</t>
  </si>
  <si>
    <t xml:space="preserve">eRank AU</t>
  </si>
  <si>
    <t xml:space="preserve">valentine downloads</t>
  </si>
  <si>
    <t xml:space="preserve">eRank rank</t>
  </si>
  <si>
    <t xml:space="preserve">#1</t>
  </si>
  <si>
    <t xml:space="preserve">Feb 2026</t>
  </si>
  <si>
    <t xml:space="preserve">UK</t>
  </si>
  <si>
    <t xml:space="preserve">eRank UK</t>
  </si>
  <si>
    <t xml:space="preserve">valentines day gift</t>
  </si>
  <si>
    <t xml:space="preserve">#4 (Q1 2025: #140)</t>
  </si>
  <si>
    <t xml:space="preserve">Q1 2026</t>
  </si>
  <si>
    <t xml:space="preserve">galentine gift</t>
  </si>
  <si>
    <t xml:space="preserve">Monthly searches</t>
  </si>
  <si>
    <t xml:space="preserve">~74,000</t>
  </si>
  <si>
    <t xml:space="preserve">Jan 2025</t>
  </si>
  <si>
    <t xml:space="preserve">easter</t>
  </si>
  <si>
    <t xml:space="preserve">#14 (pehle #39)</t>
  </si>
  <si>
    <t xml:space="preserve">Mar 2025</t>
  </si>
  <si>
    <t xml:space="preserve">fathers day</t>
  </si>
  <si>
    <t xml:space="preserve">#18 (pehle #138)</t>
  </si>
  <si>
    <t xml:space="preserve">May 2025</t>
  </si>
  <si>
    <t xml:space="preserve">graduation gift</t>
  </si>
  <si>
    <t xml:space="preserve">#165 (May 2024: #7)</t>
  </si>
  <si>
    <t xml:space="preserve">back to school</t>
  </si>
  <si>
    <t xml:space="preserve">#15 (screamer)</t>
  </si>
  <si>
    <t xml:space="preserve">Jul 2025</t>
  </si>
  <si>
    <t xml:space="preserve">eRank UK Jul 2025</t>
  </si>
  <si>
    <t xml:space="preserve">https://help.erank.com/blog/the-uks-top-etsy-keywords-july-2025/</t>
  </si>
  <si>
    <t xml:space="preserve">school</t>
  </si>
  <si>
    <t xml:space="preserve">Traffic peak / teacher gifts YoY</t>
  </si>
  <si>
    <t xml:space="preserve">Week of 28 Aug / +17%</t>
  </si>
  <si>
    <t xml:space="preserve">2025</t>
  </si>
  <si>
    <t xml:space="preserve">printable teacher planner</t>
  </si>
  <si>
    <t xml:space="preserve">880 Jul / 1,000 Aug</t>
  </si>
  <si>
    <t xml:space="preserve">digital planner</t>
  </si>
  <si>
    <t xml:space="preserve">Monthly searches / listings</t>
  </si>
  <si>
    <t xml:space="preserve">~27,100 / ~694K</t>
  </si>
  <si>
    <t xml:space="preserve">2026</t>
  </si>
  <si>
    <t xml:space="preserve">Listings / YoY</t>
  </si>
  <si>
    <t xml:space="preserve">1.04M / +38%</t>
  </si>
  <si>
    <t xml:space="preserve">Listify</t>
  </si>
  <si>
    <t xml:space="preserve">digital planners</t>
  </si>
  <si>
    <t xml:space="preserve">Search trend</t>
  </si>
  <si>
    <t xml:space="preserve">−55% (May 2025–Apr 2026)</t>
  </si>
  <si>
    <t xml:space="preserve">https://www.rankhero.com/keywords/digital-planners</t>
  </si>
  <si>
    <t xml:space="preserve">digital planner goodnotes</t>
  </si>
  <si>
    <t xml:space="preserve">Searches / listings / difficulty</t>
  </si>
  <si>
    <t xml:space="preserve">~320 / 117,853 / 70</t>
  </si>
  <si>
    <t xml:space="preserve">https://www.rankhero.com/keywords/digital-planner-goodnotes</t>
  </si>
  <si>
    <t xml:space="preserve">notion template</t>
  </si>
  <si>
    <t xml:space="preserve">Searches / difficulty</t>
  </si>
  <si>
    <t xml:space="preserve">~90,500 / 28</t>
  </si>
  <si>
    <t xml:space="preserve">https://www.rankhero.com/keywords/notion-template</t>
  </si>
  <si>
    <t xml:space="preserve">resume template</t>
  </si>
  <si>
    <t xml:space="preserve">Digital search ranking</t>
  </si>
  <si>
    <t xml:space="preserve">7,630 (#3)</t>
  </si>
  <si>
    <t xml:space="preserve">Mar 2026</t>
  </si>
  <si>
    <t xml:space="preserve">onenote planner</t>
  </si>
  <si>
    <t xml:space="preserve">Search volume</t>
  </si>
  <si>
    <t xml:space="preserve">NAHI MILA — eRank/EverBee mein khud check karein</t>
  </si>
  <si>
    <t xml:space="preserve">—</t>
  </si>
  <si>
    <t xml:space="preserve">Warning: Tools aapas mein mukhtalif hain (e.g. −55% vs +38%). eRank CTR = clicks per search (100% se upar ja sakta hai). Asli Etsy CTR public nahi.</t>
  </si>
  <si>
    <t xml:space="preserve">Step</t>
  </si>
  <si>
    <t xml:space="preserve">Kab</t>
  </si>
  <si>
    <t xml:space="preserve">Kya karna hai</t>
  </si>
  <si>
    <t xml:space="preserve">Keywords / Notes</t>
  </si>
  <si>
    <t xml:space="preserve">Status</t>
  </si>
  <si>
    <t xml:space="preserve">Abhi (Oct–Nov 2026)</t>
  </si>
  <si>
    <t xml:space="preserve">"2027 OneNote work planner" listing live karein aur Black Friday sale mein daalein</t>
  </si>
  <si>
    <t xml:space="preserve">onenote planner 2027, onenote work planner, digital planner (secondary tag)</t>
  </si>
  <si>
    <t xml:space="preserve">To do</t>
  </si>
  <si>
    <t xml:space="preserve">Nov 2026</t>
  </si>
  <si>
    <t xml:space="preserve">"OneNote project management template" alag listing</t>
  </si>
  <si>
    <t xml:space="preserve">onenote project management template, onenote work template</t>
  </si>
  <si>
    <t xml:space="preserve">Nov–Dec 2026</t>
  </si>
  <si>
    <t xml:space="preserve">"OneNote sales planner / CRM" listing</t>
  </si>
  <si>
    <t xml:space="preserve">onenote sales planner, onenote template for sales</t>
  </si>
  <si>
    <t xml:space="preserve">Dec 2026</t>
  </si>
  <si>
    <t xml:space="preserve">"OneNote meeting notes + 1:1 template" listing</t>
  </si>
  <si>
    <t xml:space="preserve">onenote meeting notes template, onenote weekly planner</t>
  </si>
  <si>
    <t xml:space="preserve">OneNote budget / goal-setting section — upsell ya bundle</t>
  </si>
  <si>
    <t xml:space="preserve">January budget/goal peak ke liye</t>
  </si>
  <si>
    <t xml:space="preserve">May 2027</t>
  </si>
  <si>
    <t xml:space="preserve">"OneNote teacher planner 2027–28"</t>
  </si>
  <si>
    <t xml:space="preserve">Back-to-school (Jul–Aug peak)</t>
  </si>
  <si>
    <t xml:space="preserve">Aug–Sep 2027</t>
  </si>
  <si>
    <t xml:space="preserve">2028 OneNote planner + OneNote holiday planner/gift tracker</t>
  </si>
  <si>
    <t xml:space="preserve">Q4 season ke liye</t>
  </si>
  <si>
    <t xml:space="preserve">Har waqt</t>
  </si>
  <si>
    <t xml:space="preserve">eRank/EverBee mein 'onenote planner' volume check; Google Trends (5-yr, US) onenote vs goodnotes</t>
  </si>
  <si>
    <t xml:space="preserve">Sab se bara data gap</t>
  </si>
  <si>
    <t xml:space="preserve">Har 60–90 din</t>
  </si>
  <si>
    <t xml:space="preserve">Apni Etsy Stats (views, favorites, sales) se har product ka faisla</t>
  </si>
  <si>
    <t xml:space="preserve">Yahi aap ka asli CTR hai</t>
  </si>
  <si>
    <t xml:space="preserve">Context: OneNote shop ~113.9K lifetime sales (~7 saal), prices $2–$39. Buyers zyada tar Windows/Microsoft 365 professionals. GoodNotes niche bohat saturated (117,853 listings vs ~320 searches).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</si>
</sst>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C6EFCE"/>
      </patternFill>
    </fill>
    <fill>
      <patternFill patternType="solid">
        <fgColor rgb="FF9DC3E6"/>
        <bgColor rgb="FFBFBFBF"/>
      </patternFill>
    </fill>
    <fill>
      <patternFill patternType="solid">
        <fgColor rgb="FF70AD47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DC3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Har mahine kitne products peak par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Dashboard!B20</c:f>
              <c:strCache>
                <c:ptCount val="1"/>
                <c:pt idx="0">
                  <c:v>Peak products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Dashboard!$B$21:$B$32</c:f>
              <c:numCache>
                <c:formatCode>General</c:formatCode>
                <c:ptCount val="12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</c:ser>
        <c:gapWidth val="150"/>
        <c:overlap val="0"/>
        <c:axId val="11103837"/>
        <c:axId val="6460665"/>
      </c:barChart>
      <c:catAx>
        <c:axId val="111038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0665"/>
        <c:crosses val="autoZero"/>
        <c:auto val="1"/>
        <c:lblAlgn val="ctr"/>
        <c:lblOffset val="100"/>
        <c:noMultiLvlLbl val="0"/>
      </c:catAx>
      <c:valAx>
        <c:axId val="6460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038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130680</xdr:rowOff>
    </xdr:from>
    <xdr:to>
      <xdr:col>15</xdr:col>
      <xdr:colOff>256320</xdr:colOff>
      <xdr:row>15</xdr:row>
      <xdr:rowOff>163440</xdr:rowOff>
    </xdr:to>
    <xdr:graphicFrame>
      <xdr:nvGraphicFramePr>
        <xdr:cNvPr id="0" name="Chart 1"/>
        <xdr:cNvGraphicFramePr/>
      </xdr:nvGraphicFramePr>
      <xdr:xfrm>
        <a:off x="6391440" y="380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help.erank.com/blog/top-keywords-on-etsy-october-2025/" TargetMode="External"/><Relationship Id="rId2" Type="http://schemas.openxmlformats.org/officeDocument/2006/relationships/hyperlink" Target="https://help.erank.com/blog/australias-top-etsy-keywords-november-2025/" TargetMode="External"/><Relationship Id="rId3" Type="http://schemas.openxmlformats.org/officeDocument/2006/relationships/hyperlink" Target="https://etsyhunt.com/best-etsy-christmas-cards" TargetMode="External"/><Relationship Id="rId4" Type="http://schemas.openxmlformats.org/officeDocument/2006/relationships/hyperlink" Target="https://thefirstbloom.com/10-best-digital-products-to-sell-on-etsy-in-q4-2026/" TargetMode="External"/><Relationship Id="rId5" Type="http://schemas.openxmlformats.org/officeDocument/2006/relationships/hyperlink" Target="https://www.madeurban.com/blog/the-best-digital-products-to-sell-on-etsy/" TargetMode="External"/><Relationship Id="rId6" Type="http://schemas.openxmlformats.org/officeDocument/2006/relationships/hyperlink" Target="https://help.erank.com/blog/australias-top-etsy-keywords-november-2024/" TargetMode="External"/><Relationship Id="rId7" Type="http://schemas.openxmlformats.org/officeDocument/2006/relationships/hyperlink" Target="https://alittlepinchofperf.gumroad.com/l/xprrt" TargetMode="External"/><Relationship Id="rId8" Type="http://schemas.openxmlformats.org/officeDocument/2006/relationships/hyperlink" Target="https://snazzydesignsforever.com/seasonal-digital-products-to-sell-on-etsy/" TargetMode="External"/><Relationship Id="rId9" Type="http://schemas.openxmlformats.org/officeDocument/2006/relationships/hyperlink" Target="https://snazzydesignsforever.com/seasonal-digital-products-to-sell-on-etsy/" TargetMode="External"/><Relationship Id="rId10" Type="http://schemas.openxmlformats.org/officeDocument/2006/relationships/hyperlink" Target="https://www.sunset.com/home-garden/design/etsy-holiday-trends-2025" TargetMode="External"/><Relationship Id="rId11" Type="http://schemas.openxmlformats.org/officeDocument/2006/relationships/hyperlink" Target="https://blog.marmalead.com/top-selling-fall-products-on-etsy/" TargetMode="External"/><Relationship Id="rId12" Type="http://schemas.openxmlformats.org/officeDocument/2006/relationships/hyperlink" Target="https://cedcommerce.com/blog/etsy-halloween-2025-trends-report-whats-selling-high-converting-keywords-to-use-now/" TargetMode="External"/><Relationship Id="rId13" Type="http://schemas.openxmlformats.org/officeDocument/2006/relationships/hyperlink" Target="https://www.etsy.com/market/best_selling_halloween_printables" TargetMode="External"/><Relationship Id="rId14" Type="http://schemas.openxmlformats.org/officeDocument/2006/relationships/hyperlink" Target="https://www.insightagent.app/trends/etsy-trend-report-2026-fall" TargetMode="External"/><Relationship Id="rId15" Type="http://schemas.openxmlformats.org/officeDocument/2006/relationships/hyperlink" Target="https://blog.marmalead.com/top-selling-fall-products-on-etsy/" TargetMode="External"/><Relationship Id="rId16" Type="http://schemas.openxmlformats.org/officeDocument/2006/relationships/hyperlink" Target="https://blog.marmalead.com/top-selling-fall-products-on-etsy/" TargetMode="External"/><Relationship Id="rId17" Type="http://schemas.openxmlformats.org/officeDocument/2006/relationships/hyperlink" Target="https://www.etsy.com/listing/1383855027" TargetMode="External"/><Relationship Id="rId18" Type="http://schemas.openxmlformats.org/officeDocument/2006/relationships/hyperlink" Target="https://www.listifyai.net/keyword/digital-planner" TargetMode="External"/><Relationship Id="rId19" Type="http://schemas.openxmlformats.org/officeDocument/2006/relationships/hyperlink" Target="https://www.rankhero.com/keywords/digital-planner" TargetMode="External"/><Relationship Id="rId20" Type="http://schemas.openxmlformats.org/officeDocument/2006/relationships/hyperlink" Target="https://www.etsy.com/market/trending_digital_planner_2026_best_seller" TargetMode="External"/><Relationship Id="rId21" Type="http://schemas.openxmlformats.org/officeDocument/2006/relationships/hyperlink" Target="https://www.goodreads.com/author_blog_posts/24510163-160k-in-2-years-selling-spreadsheet-templates" TargetMode="External"/><Relationship Id="rId22" Type="http://schemas.openxmlformats.org/officeDocument/2006/relationships/hyperlink" Target="https://stateoftheart.beehiiv.com/p/digital-products-to-sell-on-etsy-in-2026" TargetMode="External"/><Relationship Id="rId23" Type="http://schemas.openxmlformats.org/officeDocument/2006/relationships/hyperlink" Target="https://help.erank.com/blog/the-uks-top-etsy-keywords-february-2026/" TargetMode="External"/><Relationship Id="rId24" Type="http://schemas.openxmlformats.org/officeDocument/2006/relationships/hyperlink" Target="https://help.erank.com/blog/top-etsy-searches-q1-2026/" TargetMode="External"/><Relationship Id="rId25" Type="http://schemas.openxmlformats.org/officeDocument/2006/relationships/hyperlink" Target="https://help.erank.com/blog/top-keywords-on-etsy-january-2025/" TargetMode="External"/><Relationship Id="rId26" Type="http://schemas.openxmlformats.org/officeDocument/2006/relationships/hyperlink" Target="https://www.etsy.com/market/ramadan_printables" TargetMode="External"/><Relationship Id="rId27" Type="http://schemas.openxmlformats.org/officeDocument/2006/relationships/hyperlink" Target="https://www.etsy.com/market/eid_printables" TargetMode="External"/><Relationship Id="rId28" Type="http://schemas.openxmlformats.org/officeDocument/2006/relationships/hyperlink" Target="https://help.erank.com/blog/top-keywords-on-etsy-march-2025/" TargetMode="External"/><Relationship Id="rId29" Type="http://schemas.openxmlformats.org/officeDocument/2006/relationships/hyperlink" Target="https://help.erank.com/blog/upcoming-2nd-quarter-2025-holidays/" TargetMode="External"/><Relationship Id="rId30" Type="http://schemas.openxmlformats.org/officeDocument/2006/relationships/hyperlink" Target="https://help.erank.com/blog/top-keywords-on-etsy-may-2025/" TargetMode="External"/><Relationship Id="rId31" Type="http://schemas.openxmlformats.org/officeDocument/2006/relationships/hyperlink" Target="https://help.erank.com/blog/top-keywords-on-etsy-may-2025/" TargetMode="External"/><Relationship Id="rId32" Type="http://schemas.openxmlformats.org/officeDocument/2006/relationships/hyperlink" Target="https://www.etsy.com/market/bridal_shower_games_editable" TargetMode="External"/><Relationship Id="rId33" Type="http://schemas.openxmlformats.org/officeDocument/2006/relationships/hyperlink" Target="https://www.etsy.com/market/baby_shower_game_templates" TargetMode="External"/><Relationship Id="rId34" Type="http://schemas.openxmlformats.org/officeDocument/2006/relationships/hyperlink" Target="https://www.stylist.co.uk/home/etsy-spring-summer-2026-trends/1067354" TargetMode="External"/><Relationship Id="rId35" Type="http://schemas.openxmlformats.org/officeDocument/2006/relationships/hyperlink" Target="https://www.rankhero.com/keywords/printable-teacher-planner" TargetMode="External"/><Relationship Id="rId36" Type="http://schemas.openxmlformats.org/officeDocument/2006/relationships/hyperlink" Target="https://www.etsy.com/market/teacher_printables" TargetMode="External"/><Relationship Id="rId37" Type="http://schemas.openxmlformats.org/officeDocument/2006/relationships/hyperlink" Target="https://community.etsy.com/forum/etsy-success-300/topic/etsy-insights-whats-trending-for-back-to-school-185685/" TargetMode="External"/><Relationship Id="rId38" Type="http://schemas.openxmlformats.org/officeDocument/2006/relationships/hyperlink" Target="https://www.etsy.com/market/teacher_printables" TargetMode="External"/><Relationship Id="rId39" Type="http://schemas.openxmlformats.org/officeDocument/2006/relationships/hyperlink" Target="https://www.theleap.co/blog/digital-products-to-sell-on-etsy/" TargetMode="External"/><Relationship Id="rId40" Type="http://schemas.openxmlformats.org/officeDocument/2006/relationships/hyperlink" Target="https://www.etsy.com/market/onenote_digital_planner" TargetMode="External"/><Relationship Id="rId4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help.erank.com/blog/trend-report/top-etsy-searches-in-2024/" TargetMode="External"/><Relationship Id="rId2" Type="http://schemas.openxmlformats.org/officeDocument/2006/relationships/hyperlink" Target="https://help.erank.com/blog/top-etsy-searches-in-q4-2025/" TargetMode="External"/><Relationship Id="rId3" Type="http://schemas.openxmlformats.org/officeDocument/2006/relationships/hyperlink" Target="https://help.erank.com/blog/top-keywords-on-etsy-november-2025/" TargetMode="External"/><Relationship Id="rId4" Type="http://schemas.openxmlformats.org/officeDocument/2006/relationships/hyperlink" Target="https://help.erank.com/blog/top-keywords-on-etsy-october-2025/" TargetMode="External"/><Relationship Id="rId5" Type="http://schemas.openxmlformats.org/officeDocument/2006/relationships/hyperlink" Target="https://help.erank.com/blog/australias-top-etsy-keywords-november-2025/" TargetMode="External"/><Relationship Id="rId6" Type="http://schemas.openxmlformats.org/officeDocument/2006/relationships/hyperlink" Target="https://help.erank.com/blog/the-uks-top-etsy-keywords-february-2026/" TargetMode="External"/><Relationship Id="rId7" Type="http://schemas.openxmlformats.org/officeDocument/2006/relationships/hyperlink" Target="https://help.erank.com/blog/top-etsy-searches-q1-2026/" TargetMode="External"/><Relationship Id="rId8" Type="http://schemas.openxmlformats.org/officeDocument/2006/relationships/hyperlink" Target="https://help.erank.com/blog/top-keywords-on-etsy-january-2025/" TargetMode="External"/><Relationship Id="rId9" Type="http://schemas.openxmlformats.org/officeDocument/2006/relationships/hyperlink" Target="https://help.erank.com/blog/top-keywords-on-etsy-march-2025/" TargetMode="External"/><Relationship Id="rId10" Type="http://schemas.openxmlformats.org/officeDocument/2006/relationships/hyperlink" Target="https://help.erank.com/blog/top-keywords-on-etsy-may-2025/" TargetMode="External"/><Relationship Id="rId11" Type="http://schemas.openxmlformats.org/officeDocument/2006/relationships/hyperlink" Target="https://help.erank.com/blog/top-keywords-on-etsy-may-2025/" TargetMode="External"/><Relationship Id="rId12" Type="http://schemas.openxmlformats.org/officeDocument/2006/relationships/hyperlink" Target="https://help.erank.com/blog/the-uks-top-etsy-keywords-july-2025/" TargetMode="External"/><Relationship Id="rId13" Type="http://schemas.openxmlformats.org/officeDocument/2006/relationships/hyperlink" Target="https://community.etsy.com/forum/etsy-success-300/topic/etsy-insights-whats-trending-for-back-to-school-185685/" TargetMode="External"/><Relationship Id="rId14" Type="http://schemas.openxmlformats.org/officeDocument/2006/relationships/hyperlink" Target="https://www.rankhero.com/keywords/printable-teacher-planner" TargetMode="External"/><Relationship Id="rId15" Type="http://schemas.openxmlformats.org/officeDocument/2006/relationships/hyperlink" Target="https://www.rankhero.com/keywords/digital-planner" TargetMode="External"/><Relationship Id="rId16" Type="http://schemas.openxmlformats.org/officeDocument/2006/relationships/hyperlink" Target="https://www.listifyai.net/keyword/digital-planner" TargetMode="External"/><Relationship Id="rId17" Type="http://schemas.openxmlformats.org/officeDocument/2006/relationships/hyperlink" Target="https://www.rankhero.com/keywords/digital-planners" TargetMode="External"/><Relationship Id="rId18" Type="http://schemas.openxmlformats.org/officeDocument/2006/relationships/hyperlink" Target="https://www.rankhero.com/keywords/digital-planner-goodnotes" TargetMode="External"/><Relationship Id="rId19" Type="http://schemas.openxmlformats.org/officeDocument/2006/relationships/hyperlink" Target="https://www.rankhero.com/keywords/notion-template" TargetMode="External"/><Relationship Id="rId20" Type="http://schemas.openxmlformats.org/officeDocument/2006/relationships/hyperlink" Target="https://stateoftheart.beehiiv.com/p/digital-products-to-sell-on-etsy-in-20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35.0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4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21</v>
      </c>
    </row>
    <row r="3" customFormat="false" ht="15" hidden="false" customHeight="false" outlineLevel="0" collapsed="false">
      <c r="A3" s="5" t="s">
        <v>22</v>
      </c>
      <c r="B3" s="5" t="s">
        <v>23</v>
      </c>
      <c r="D3" s="5" t="s">
        <v>24</v>
      </c>
      <c r="E3" s="5" t="s">
        <v>23</v>
      </c>
    </row>
    <row r="4" customFormat="false" ht="15" hidden="false" customHeight="false" outlineLevel="0" collapsed="false">
      <c r="A4" s="6" t="s">
        <v>25</v>
      </c>
      <c r="B4" s="7" t="n">
        <f aca="false">COUNTIF(Products!$D$2:$D$41,A4)</f>
        <v>10</v>
      </c>
      <c r="D4" s="8" t="s">
        <v>26</v>
      </c>
      <c r="E4" s="7" t="n">
        <f aca="false">COUNTIF(Products!$K$2:$K$41,"Very high*")</f>
        <v>6</v>
      </c>
    </row>
    <row r="5" customFormat="false" ht="15" hidden="false" customHeight="false" outlineLevel="0" collapsed="false">
      <c r="A5" s="6" t="s">
        <v>27</v>
      </c>
      <c r="B5" s="7" t="n">
        <f aca="false">COUNTIF(Products!$D$2:$D$41,A5)</f>
        <v>3</v>
      </c>
      <c r="D5" s="9" t="s">
        <v>28</v>
      </c>
      <c r="E5" s="7" t="n">
        <f aca="false">COUNTIF(Products!$K$2:$K$41,"High*")</f>
        <v>19</v>
      </c>
    </row>
    <row r="6" customFormat="false" ht="15" hidden="false" customHeight="false" outlineLevel="0" collapsed="false">
      <c r="A6" s="6" t="s">
        <v>29</v>
      </c>
      <c r="B6" s="7" t="n">
        <f aca="false">COUNTIF(Products!$D$2:$D$41,A6)</f>
        <v>1</v>
      </c>
      <c r="D6" s="10" t="s">
        <v>30</v>
      </c>
      <c r="E6" s="7" t="n">
        <f aca="false">COUNTIF(Products!$K$2:$K$41,"Medium*")</f>
        <v>13</v>
      </c>
    </row>
    <row r="7" customFormat="false" ht="15" hidden="false" customHeight="false" outlineLevel="0" collapsed="false">
      <c r="A7" s="6" t="s">
        <v>31</v>
      </c>
      <c r="B7" s="7" t="n">
        <f aca="false">COUNTIF(Products!$D$2:$D$41,A7)</f>
        <v>2</v>
      </c>
      <c r="D7" s="11" t="s">
        <v>32</v>
      </c>
      <c r="E7" s="7" t="n">
        <f aca="false">COUNTIF(Products!$K$2:$K$41,"Low*")</f>
        <v>2</v>
      </c>
    </row>
    <row r="8" customFormat="false" ht="15" hidden="false" customHeight="false" outlineLevel="0" collapsed="false">
      <c r="A8" s="6" t="s">
        <v>33</v>
      </c>
      <c r="B8" s="7" t="n">
        <f aca="false">COUNTIF(Products!$D$2:$D$41,A8)</f>
        <v>3</v>
      </c>
    </row>
    <row r="9" customFormat="false" ht="15" hidden="false" customHeight="false" outlineLevel="0" collapsed="false">
      <c r="A9" s="6" t="s">
        <v>34</v>
      </c>
      <c r="B9" s="7" t="n">
        <f aca="false">COUNTIF(Products!$D$2:$D$41,A9)</f>
        <v>7</v>
      </c>
    </row>
    <row r="10" customFormat="false" ht="15" hidden="false" customHeight="false" outlineLevel="0" collapsed="false">
      <c r="A10" s="6" t="s">
        <v>35</v>
      </c>
      <c r="B10" s="7" t="n">
        <f aca="false">COUNTIF(Products!$D$2:$D$41,A10)</f>
        <v>3</v>
      </c>
      <c r="D10" s="5" t="s">
        <v>36</v>
      </c>
      <c r="E10" s="5" t="s">
        <v>23</v>
      </c>
    </row>
    <row r="11" customFormat="false" ht="15" hidden="false" customHeight="false" outlineLevel="0" collapsed="false">
      <c r="A11" s="6" t="s">
        <v>37</v>
      </c>
      <c r="B11" s="7" t="n">
        <f aca="false">COUNTIF(Products!$D$2:$D$41,A11)</f>
        <v>2</v>
      </c>
      <c r="D11" s="6" t="s">
        <v>38</v>
      </c>
      <c r="E11" s="7" t="n">
        <f aca="false">COUNTIF(Products!$P$2:$P$41,"Idea")</f>
        <v>40</v>
      </c>
    </row>
    <row r="12" customFormat="false" ht="15" hidden="false" customHeight="false" outlineLevel="0" collapsed="false">
      <c r="A12" s="6" t="s">
        <v>39</v>
      </c>
      <c r="B12" s="7" t="n">
        <f aca="false">COUNTIF(Products!$D$2:$D$41,A12)</f>
        <v>1</v>
      </c>
      <c r="D12" s="6" t="s">
        <v>40</v>
      </c>
      <c r="E12" s="7" t="n">
        <f aca="false">COUNTIF(Products!$P$2:$P$41,"Banana hai")</f>
        <v>0</v>
      </c>
    </row>
    <row r="13" customFormat="false" ht="15" hidden="false" customHeight="false" outlineLevel="0" collapsed="false">
      <c r="A13" s="6" t="s">
        <v>41</v>
      </c>
      <c r="B13" s="7" t="n">
        <f aca="false">COUNTIF(Products!$D$2:$D$41,A13)</f>
        <v>1</v>
      </c>
      <c r="D13" s="6" t="s">
        <v>42</v>
      </c>
      <c r="E13" s="7" t="n">
        <f aca="false">COUNTIF(Products!$P$2:$P$41,"In progress")</f>
        <v>0</v>
      </c>
    </row>
    <row r="14" customFormat="false" ht="15" hidden="false" customHeight="false" outlineLevel="0" collapsed="false">
      <c r="A14" s="6" t="s">
        <v>43</v>
      </c>
      <c r="B14" s="7" t="n">
        <f aca="false">COUNTIF(Products!$D$2:$D$41,A14)</f>
        <v>1</v>
      </c>
      <c r="D14" s="6" t="s">
        <v>44</v>
      </c>
      <c r="E14" s="7" t="n">
        <f aca="false">COUNTIF(Products!$P$2:$P$41,"Listed")</f>
        <v>0</v>
      </c>
    </row>
    <row r="15" customFormat="false" ht="15" hidden="false" customHeight="false" outlineLevel="0" collapsed="false">
      <c r="A15" s="6" t="s">
        <v>45</v>
      </c>
      <c r="B15" s="7" t="n">
        <f aca="false">COUNTIF(Products!$D$2:$D$41,A15)</f>
        <v>1</v>
      </c>
      <c r="D15" s="6" t="s">
        <v>46</v>
      </c>
      <c r="E15" s="7" t="n">
        <f aca="false">COUNTIF(Products!$P$2:$P$41,"Best seller")</f>
        <v>0</v>
      </c>
    </row>
    <row r="16" customFormat="false" ht="15" hidden="false" customHeight="false" outlineLevel="0" collapsed="false">
      <c r="A16" s="6" t="s">
        <v>47</v>
      </c>
      <c r="B16" s="7" t="n">
        <f aca="false">COUNTIF(Products!$D$2:$D$41,A16)</f>
        <v>1</v>
      </c>
      <c r="D16" s="6" t="s">
        <v>48</v>
      </c>
      <c r="E16" s="7" t="n">
        <f aca="false">COUNTIF(Products!$P$2:$P$41,"Skip")</f>
        <v>0</v>
      </c>
    </row>
    <row r="17" customFormat="false" ht="15" hidden="false" customHeight="false" outlineLevel="0" collapsed="false">
      <c r="A17" s="6" t="s">
        <v>49</v>
      </c>
      <c r="B17" s="7" t="n">
        <f aca="false">COUNTIF(Products!$D$2:$D$41,A17)</f>
        <v>4</v>
      </c>
    </row>
    <row r="18" customFormat="false" ht="15" hidden="false" customHeight="false" outlineLevel="0" collapsed="false">
      <c r="A18" s="12" t="s">
        <v>50</v>
      </c>
      <c r="B18" s="13" t="n">
        <f aca="false">SUM(B4:B17)</f>
        <v>40</v>
      </c>
      <c r="D18" s="5" t="s">
        <v>51</v>
      </c>
      <c r="E18" s="5" t="s">
        <v>52</v>
      </c>
    </row>
    <row r="19" customFormat="false" ht="15" hidden="false" customHeight="false" outlineLevel="0" collapsed="false">
      <c r="D19" s="6" t="s">
        <v>53</v>
      </c>
      <c r="E19" s="14" t="n">
        <f aca="false">AVERAGE(Products!L2:L41)</f>
        <v>2.44975</v>
      </c>
    </row>
    <row r="20" customFormat="false" ht="15" hidden="false" customHeight="false" outlineLevel="0" collapsed="false">
      <c r="A20" s="5" t="s">
        <v>54</v>
      </c>
      <c r="B20" s="5" t="s">
        <v>55</v>
      </c>
      <c r="D20" s="6" t="s">
        <v>56</v>
      </c>
      <c r="E20" s="14" t="n">
        <f aca="false">AVERAGE(Products!M2:M41)</f>
        <v>10.479</v>
      </c>
    </row>
    <row r="21" customFormat="false" ht="15" hidden="false" customHeight="false" outlineLevel="0" collapsed="false">
      <c r="A21" s="6" t="s">
        <v>57</v>
      </c>
      <c r="B21" s="7" t="n">
        <f aca="false">'Month Matrix'!D42</f>
        <v>10</v>
      </c>
      <c r="D21" s="6" t="s">
        <v>58</v>
      </c>
      <c r="E21" s="14" t="n">
        <f aca="false">MIN(Products!L2:L41)</f>
        <v>1</v>
      </c>
    </row>
    <row r="22" customFormat="false" ht="15" hidden="false" customHeight="false" outlineLevel="0" collapsed="false">
      <c r="A22" s="6" t="s">
        <v>59</v>
      </c>
      <c r="B22" s="7" t="n">
        <f aca="false">'Month Matrix'!E42</f>
        <v>5</v>
      </c>
      <c r="D22" s="6" t="s">
        <v>60</v>
      </c>
      <c r="E22" s="14" t="n">
        <f aca="false">MAX(Products!M2:M41)</f>
        <v>39</v>
      </c>
    </row>
    <row r="23" customFormat="false" ht="15" hidden="false" customHeight="false" outlineLevel="0" collapsed="false">
      <c r="A23" s="6" t="s">
        <v>61</v>
      </c>
      <c r="B23" s="7" t="n">
        <f aca="false">'Month Matrix'!F42</f>
        <v>4</v>
      </c>
    </row>
    <row r="24" customFormat="false" ht="15" hidden="false" customHeight="false" outlineLevel="0" collapsed="false">
      <c r="A24" s="6" t="s">
        <v>62</v>
      </c>
      <c r="B24" s="7" t="n">
        <f aca="false">'Month Matrix'!G42</f>
        <v>3</v>
      </c>
    </row>
    <row r="25" customFormat="false" ht="15" hidden="false" customHeight="false" outlineLevel="0" collapsed="false">
      <c r="A25" s="6" t="s">
        <v>63</v>
      </c>
      <c r="B25" s="7" t="n">
        <f aca="false">'Month Matrix'!H42</f>
        <v>6</v>
      </c>
    </row>
    <row r="26" customFormat="false" ht="15" hidden="false" customHeight="false" outlineLevel="0" collapsed="false">
      <c r="A26" s="6" t="s">
        <v>64</v>
      </c>
      <c r="B26" s="7" t="n">
        <f aca="false">'Month Matrix'!I42</f>
        <v>5</v>
      </c>
    </row>
    <row r="27" customFormat="false" ht="15" hidden="false" customHeight="false" outlineLevel="0" collapsed="false">
      <c r="A27" s="6" t="s">
        <v>65</v>
      </c>
      <c r="B27" s="7" t="n">
        <f aca="false">'Month Matrix'!J42</f>
        <v>6</v>
      </c>
    </row>
    <row r="28" customFormat="false" ht="15" hidden="false" customHeight="false" outlineLevel="0" collapsed="false">
      <c r="A28" s="6" t="s">
        <v>66</v>
      </c>
      <c r="B28" s="7" t="n">
        <f aca="false">'Month Matrix'!K42</f>
        <v>9</v>
      </c>
    </row>
    <row r="29" customFormat="false" ht="15" hidden="false" customHeight="false" outlineLevel="0" collapsed="false">
      <c r="A29" s="6" t="s">
        <v>67</v>
      </c>
      <c r="B29" s="7" t="n">
        <f aca="false">'Month Matrix'!L42</f>
        <v>8</v>
      </c>
    </row>
    <row r="30" customFormat="false" ht="15" hidden="false" customHeight="false" outlineLevel="0" collapsed="false">
      <c r="A30" s="6" t="s">
        <v>68</v>
      </c>
      <c r="B30" s="7" t="n">
        <f aca="false">'Month Matrix'!M42</f>
        <v>8</v>
      </c>
    </row>
    <row r="31" customFormat="false" ht="15" hidden="false" customHeight="false" outlineLevel="0" collapsed="false">
      <c r="A31" s="6" t="s">
        <v>69</v>
      </c>
      <c r="B31" s="7" t="n">
        <f aca="false">'Month Matrix'!N42</f>
        <v>11</v>
      </c>
    </row>
    <row r="32" customFormat="false" ht="15" hidden="false" customHeight="false" outlineLevel="0" collapsed="false">
      <c r="A32" s="6" t="s">
        <v>70</v>
      </c>
      <c r="B32" s="7" t="n">
        <f aca="false">'Month Matrix'!O42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4" min="12" style="0" width="10"/>
    <col collapsed="false" customWidth="true" hidden="false" outlineLevel="0" max="15" min="15" style="0" width="30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28"/>
  </cols>
  <sheetData>
    <row r="1" customFormat="false" ht="35.05" hidden="false" customHeight="false" outlineLevel="0" collapsed="false">
      <c r="A1" s="5" t="s">
        <v>71</v>
      </c>
      <c r="B1" s="5" t="s">
        <v>72</v>
      </c>
      <c r="C1" s="5" t="s">
        <v>73</v>
      </c>
      <c r="D1" s="5" t="s">
        <v>22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  <c r="K1" s="5" t="s">
        <v>24</v>
      </c>
      <c r="L1" s="5" t="s">
        <v>80</v>
      </c>
      <c r="M1" s="5" t="s">
        <v>81</v>
      </c>
      <c r="N1" s="5" t="s">
        <v>82</v>
      </c>
      <c r="O1" s="5" t="s">
        <v>83</v>
      </c>
      <c r="P1" s="5" t="s">
        <v>36</v>
      </c>
      <c r="Q1" s="5" t="s">
        <v>84</v>
      </c>
      <c r="R1" s="5" t="s">
        <v>85</v>
      </c>
    </row>
    <row r="2" customFormat="false" ht="15" hidden="false" customHeight="false" outlineLevel="0" collapsed="false">
      <c r="A2" s="7" t="n">
        <v>1</v>
      </c>
      <c r="B2" s="12" t="s">
        <v>86</v>
      </c>
      <c r="C2" s="6" t="s">
        <v>87</v>
      </c>
      <c r="D2" s="6" t="s">
        <v>25</v>
      </c>
      <c r="E2" s="6" t="s">
        <v>88</v>
      </c>
      <c r="F2" s="6" t="s">
        <v>66</v>
      </c>
      <c r="G2" s="7" t="n">
        <v>8</v>
      </c>
      <c r="H2" s="6" t="s">
        <v>89</v>
      </c>
      <c r="I2" s="6" t="s">
        <v>90</v>
      </c>
      <c r="J2" s="15" t="s">
        <v>91</v>
      </c>
      <c r="K2" s="16" t="s">
        <v>26</v>
      </c>
      <c r="L2" s="17" t="n">
        <v>1</v>
      </c>
      <c r="M2" s="17" t="n">
        <v>5</v>
      </c>
      <c r="N2" s="14" t="n">
        <f aca="false">AVERAGE(L2:M2)</f>
        <v>3</v>
      </c>
      <c r="O2" s="6" t="s">
        <v>92</v>
      </c>
      <c r="P2" s="18" t="s">
        <v>38</v>
      </c>
      <c r="Q2" s="19"/>
      <c r="R2" s="10"/>
    </row>
    <row r="3" customFormat="false" ht="23.85" hidden="false" customHeight="false" outlineLevel="0" collapsed="false">
      <c r="A3" s="7" t="n">
        <v>2</v>
      </c>
      <c r="B3" s="12" t="s">
        <v>93</v>
      </c>
      <c r="C3" s="6" t="s">
        <v>87</v>
      </c>
      <c r="D3" s="6" t="s">
        <v>25</v>
      </c>
      <c r="E3" s="6" t="s">
        <v>94</v>
      </c>
      <c r="F3" s="6" t="s">
        <v>66</v>
      </c>
      <c r="G3" s="7" t="n">
        <v>8</v>
      </c>
      <c r="H3" s="6" t="s">
        <v>95</v>
      </c>
      <c r="I3" s="6" t="s">
        <v>96</v>
      </c>
      <c r="J3" s="15" t="s">
        <v>97</v>
      </c>
      <c r="K3" s="16" t="s">
        <v>26</v>
      </c>
      <c r="L3" s="17" t="n">
        <v>1</v>
      </c>
      <c r="M3" s="17" t="n">
        <v>3</v>
      </c>
      <c r="N3" s="14" t="n">
        <f aca="false">AVERAGE(L3:M3)</f>
        <v>2</v>
      </c>
      <c r="O3" s="6" t="s">
        <v>98</v>
      </c>
      <c r="P3" s="18" t="s">
        <v>38</v>
      </c>
      <c r="Q3" s="19"/>
      <c r="R3" s="10"/>
    </row>
    <row r="4" customFormat="false" ht="15" hidden="false" customHeight="false" outlineLevel="0" collapsed="false">
      <c r="A4" s="7" t="n">
        <v>3</v>
      </c>
      <c r="B4" s="12" t="s">
        <v>99</v>
      </c>
      <c r="C4" s="6" t="s">
        <v>100</v>
      </c>
      <c r="D4" s="6" t="s">
        <v>25</v>
      </c>
      <c r="E4" s="6" t="s">
        <v>101</v>
      </c>
      <c r="F4" s="6" t="s">
        <v>67</v>
      </c>
      <c r="G4" s="7" t="n">
        <v>9</v>
      </c>
      <c r="H4" s="6" t="s">
        <v>102</v>
      </c>
      <c r="I4" s="6" t="s">
        <v>103</v>
      </c>
      <c r="J4" s="15" t="s">
        <v>104</v>
      </c>
      <c r="K4" s="16" t="s">
        <v>26</v>
      </c>
      <c r="L4" s="17" t="n">
        <v>1</v>
      </c>
      <c r="M4" s="17" t="n">
        <v>3</v>
      </c>
      <c r="N4" s="14" t="n">
        <f aca="false">AVERAGE(L4:M4)</f>
        <v>2</v>
      </c>
      <c r="O4" s="6" t="s">
        <v>105</v>
      </c>
      <c r="P4" s="18" t="s">
        <v>38</v>
      </c>
      <c r="Q4" s="19"/>
      <c r="R4" s="10"/>
    </row>
    <row r="5" customFormat="false" ht="23.85" hidden="false" customHeight="false" outlineLevel="0" collapsed="false">
      <c r="A5" s="7" t="n">
        <v>4</v>
      </c>
      <c r="B5" s="12" t="s">
        <v>106</v>
      </c>
      <c r="C5" s="6" t="s">
        <v>107</v>
      </c>
      <c r="D5" s="6" t="s">
        <v>25</v>
      </c>
      <c r="E5" s="6" t="s">
        <v>70</v>
      </c>
      <c r="F5" s="6" t="s">
        <v>108</v>
      </c>
      <c r="G5" s="7" t="n">
        <v>9</v>
      </c>
      <c r="H5" s="6" t="s">
        <v>109</v>
      </c>
      <c r="I5" s="6" t="s">
        <v>110</v>
      </c>
      <c r="J5" s="15" t="s">
        <v>111</v>
      </c>
      <c r="K5" s="16" t="s">
        <v>28</v>
      </c>
      <c r="L5" s="17" t="n">
        <v>3</v>
      </c>
      <c r="M5" s="17" t="n">
        <v>8</v>
      </c>
      <c r="N5" s="14" t="n">
        <f aca="false">AVERAGE(L5:M5)</f>
        <v>5.5</v>
      </c>
      <c r="O5" s="6" t="s">
        <v>112</v>
      </c>
      <c r="P5" s="18" t="s">
        <v>38</v>
      </c>
      <c r="Q5" s="19"/>
      <c r="R5" s="10"/>
    </row>
    <row r="6" customFormat="false" ht="15" hidden="false" customHeight="false" outlineLevel="0" collapsed="false">
      <c r="A6" s="7" t="n">
        <v>5</v>
      </c>
      <c r="B6" s="12" t="s">
        <v>113</v>
      </c>
      <c r="C6" s="6" t="s">
        <v>100</v>
      </c>
      <c r="D6" s="6" t="s">
        <v>25</v>
      </c>
      <c r="E6" s="6" t="s">
        <v>101</v>
      </c>
      <c r="F6" s="6" t="s">
        <v>108</v>
      </c>
      <c r="G6" s="7" t="n">
        <v>9</v>
      </c>
      <c r="H6" s="6" t="s">
        <v>114</v>
      </c>
      <c r="I6" s="6" t="s">
        <v>115</v>
      </c>
      <c r="J6" s="15" t="s">
        <v>116</v>
      </c>
      <c r="K6" s="16" t="s">
        <v>30</v>
      </c>
      <c r="L6" s="17" t="n">
        <v>2</v>
      </c>
      <c r="M6" s="17" t="n">
        <v>5</v>
      </c>
      <c r="N6" s="14" t="n">
        <f aca="false">AVERAGE(L6:M6)</f>
        <v>3.5</v>
      </c>
      <c r="O6" s="6" t="s">
        <v>92</v>
      </c>
      <c r="P6" s="18" t="s">
        <v>38</v>
      </c>
      <c r="Q6" s="19"/>
      <c r="R6" s="10"/>
    </row>
    <row r="7" customFormat="false" ht="15" hidden="false" customHeight="false" outlineLevel="0" collapsed="false">
      <c r="A7" s="7" t="n">
        <v>6</v>
      </c>
      <c r="B7" s="12" t="s">
        <v>117</v>
      </c>
      <c r="C7" s="6" t="s">
        <v>100</v>
      </c>
      <c r="D7" s="6" t="s">
        <v>25</v>
      </c>
      <c r="E7" s="6" t="s">
        <v>118</v>
      </c>
      <c r="F7" s="6" t="s">
        <v>108</v>
      </c>
      <c r="G7" s="7" t="n">
        <v>9</v>
      </c>
      <c r="H7" s="6" t="s">
        <v>119</v>
      </c>
      <c r="I7" s="6" t="s">
        <v>120</v>
      </c>
      <c r="J7" s="15" t="s">
        <v>121</v>
      </c>
      <c r="K7" s="16" t="s">
        <v>30</v>
      </c>
      <c r="L7" s="17" t="n">
        <v>3</v>
      </c>
      <c r="M7" s="17" t="n">
        <v>8</v>
      </c>
      <c r="N7" s="14" t="n">
        <f aca="false">AVERAGE(L7:M7)</f>
        <v>5.5</v>
      </c>
      <c r="O7" s="6" t="s">
        <v>92</v>
      </c>
      <c r="P7" s="18" t="s">
        <v>38</v>
      </c>
      <c r="Q7" s="19"/>
      <c r="R7" s="10"/>
    </row>
    <row r="8" customFormat="false" ht="15" hidden="false" customHeight="false" outlineLevel="0" collapsed="false">
      <c r="A8" s="7" t="n">
        <v>7</v>
      </c>
      <c r="B8" s="12" t="s">
        <v>122</v>
      </c>
      <c r="C8" s="6" t="s">
        <v>100</v>
      </c>
      <c r="D8" s="6" t="s">
        <v>25</v>
      </c>
      <c r="E8" s="6" t="s">
        <v>101</v>
      </c>
      <c r="F8" s="6" t="s">
        <v>68</v>
      </c>
      <c r="G8" s="7" t="n">
        <v>10</v>
      </c>
      <c r="H8" s="6" t="s">
        <v>123</v>
      </c>
      <c r="I8" s="6" t="s">
        <v>124</v>
      </c>
      <c r="J8" s="15" t="s">
        <v>125</v>
      </c>
      <c r="K8" s="16" t="s">
        <v>126</v>
      </c>
      <c r="L8" s="17" t="n">
        <v>3</v>
      </c>
      <c r="M8" s="17" t="n">
        <v>8</v>
      </c>
      <c r="N8" s="14" t="n">
        <f aca="false">AVERAGE(L8:M8)</f>
        <v>5.5</v>
      </c>
      <c r="O8" s="6" t="s">
        <v>92</v>
      </c>
      <c r="P8" s="18" t="s">
        <v>38</v>
      </c>
      <c r="Q8" s="19"/>
      <c r="R8" s="10"/>
    </row>
    <row r="9" customFormat="false" ht="15" hidden="false" customHeight="false" outlineLevel="0" collapsed="false">
      <c r="A9" s="7" t="n">
        <v>8</v>
      </c>
      <c r="B9" s="12" t="s">
        <v>127</v>
      </c>
      <c r="C9" s="6" t="s">
        <v>128</v>
      </c>
      <c r="D9" s="6" t="s">
        <v>25</v>
      </c>
      <c r="E9" s="6" t="s">
        <v>70</v>
      </c>
      <c r="F9" s="6" t="s">
        <v>68</v>
      </c>
      <c r="G9" s="7" t="n">
        <v>10</v>
      </c>
      <c r="H9" s="6" t="s">
        <v>129</v>
      </c>
      <c r="I9" s="6" t="s">
        <v>130</v>
      </c>
      <c r="J9" s="15" t="s">
        <v>131</v>
      </c>
      <c r="K9" s="16" t="s">
        <v>28</v>
      </c>
      <c r="L9" s="17" t="n">
        <v>2</v>
      </c>
      <c r="M9" s="17" t="n">
        <v>6</v>
      </c>
      <c r="N9" s="14" t="n">
        <f aca="false">AVERAGE(L9:M9)</f>
        <v>4</v>
      </c>
      <c r="O9" s="6" t="s">
        <v>92</v>
      </c>
      <c r="P9" s="18" t="s">
        <v>38</v>
      </c>
      <c r="Q9" s="19"/>
      <c r="R9" s="10"/>
    </row>
    <row r="10" customFormat="false" ht="23.85" hidden="false" customHeight="false" outlineLevel="0" collapsed="false">
      <c r="A10" s="7" t="n">
        <v>9</v>
      </c>
      <c r="B10" s="12" t="s">
        <v>132</v>
      </c>
      <c r="C10" s="6" t="s">
        <v>133</v>
      </c>
      <c r="D10" s="6" t="s">
        <v>25</v>
      </c>
      <c r="E10" s="6" t="s">
        <v>88</v>
      </c>
      <c r="F10" s="6" t="s">
        <v>67</v>
      </c>
      <c r="G10" s="7" t="n">
        <v>9</v>
      </c>
      <c r="H10" s="6" t="s">
        <v>134</v>
      </c>
      <c r="I10" s="6" t="s">
        <v>130</v>
      </c>
      <c r="J10" s="15" t="s">
        <v>131</v>
      </c>
      <c r="K10" s="16" t="s">
        <v>28</v>
      </c>
      <c r="L10" s="17" t="n">
        <v>3</v>
      </c>
      <c r="M10" s="17" t="n">
        <v>10</v>
      </c>
      <c r="N10" s="14" t="n">
        <f aca="false">AVERAGE(L10:M10)</f>
        <v>6.5</v>
      </c>
      <c r="O10" s="6" t="s">
        <v>135</v>
      </c>
      <c r="P10" s="18" t="s">
        <v>38</v>
      </c>
      <c r="Q10" s="19"/>
      <c r="R10" s="10"/>
    </row>
    <row r="11" customFormat="false" ht="23.85" hidden="false" customHeight="false" outlineLevel="0" collapsed="false">
      <c r="A11" s="7" t="n">
        <v>10</v>
      </c>
      <c r="B11" s="12" t="s">
        <v>136</v>
      </c>
      <c r="C11" s="6" t="s">
        <v>100</v>
      </c>
      <c r="D11" s="6" t="s">
        <v>25</v>
      </c>
      <c r="E11" s="6" t="s">
        <v>101</v>
      </c>
      <c r="F11" s="6" t="s">
        <v>67</v>
      </c>
      <c r="G11" s="7" t="n">
        <v>9</v>
      </c>
      <c r="H11" s="6" t="s">
        <v>137</v>
      </c>
      <c r="I11" s="6" t="s">
        <v>138</v>
      </c>
      <c r="J11" s="15" t="s">
        <v>139</v>
      </c>
      <c r="K11" s="16" t="s">
        <v>140</v>
      </c>
      <c r="L11" s="17" t="n">
        <v>3</v>
      </c>
      <c r="M11" s="17" t="n">
        <v>8</v>
      </c>
      <c r="N11" s="14" t="n">
        <f aca="false">AVERAGE(L11:M11)</f>
        <v>5.5</v>
      </c>
      <c r="O11" s="6" t="s">
        <v>141</v>
      </c>
      <c r="P11" s="18" t="s">
        <v>38</v>
      </c>
      <c r="Q11" s="19"/>
      <c r="R11" s="10"/>
    </row>
    <row r="12" customFormat="false" ht="23.85" hidden="false" customHeight="false" outlineLevel="0" collapsed="false">
      <c r="A12" s="7" t="n">
        <v>11</v>
      </c>
      <c r="B12" s="12" t="s">
        <v>142</v>
      </c>
      <c r="C12" s="6" t="s">
        <v>100</v>
      </c>
      <c r="D12" s="6" t="s">
        <v>27</v>
      </c>
      <c r="E12" s="6" t="s">
        <v>108</v>
      </c>
      <c r="F12" s="6" t="s">
        <v>143</v>
      </c>
      <c r="G12" s="7" t="n">
        <v>8</v>
      </c>
      <c r="H12" s="6" t="s">
        <v>144</v>
      </c>
      <c r="I12" s="6" t="s">
        <v>145</v>
      </c>
      <c r="J12" s="15" t="s">
        <v>146</v>
      </c>
      <c r="K12" s="16" t="s">
        <v>28</v>
      </c>
      <c r="L12" s="17" t="n">
        <v>3</v>
      </c>
      <c r="M12" s="17" t="n">
        <v>8</v>
      </c>
      <c r="N12" s="14" t="n">
        <f aca="false">AVERAGE(L12:M12)</f>
        <v>5.5</v>
      </c>
      <c r="O12" s="6" t="s">
        <v>92</v>
      </c>
      <c r="P12" s="18" t="s">
        <v>38</v>
      </c>
      <c r="Q12" s="19"/>
      <c r="R12" s="10"/>
    </row>
    <row r="13" customFormat="false" ht="15" hidden="false" customHeight="false" outlineLevel="0" collapsed="false">
      <c r="A13" s="7" t="n">
        <v>12</v>
      </c>
      <c r="B13" s="12" t="s">
        <v>147</v>
      </c>
      <c r="C13" s="6" t="s">
        <v>87</v>
      </c>
      <c r="D13" s="6" t="s">
        <v>27</v>
      </c>
      <c r="E13" s="6" t="s">
        <v>108</v>
      </c>
      <c r="F13" s="6" t="s">
        <v>66</v>
      </c>
      <c r="G13" s="7" t="n">
        <v>8</v>
      </c>
      <c r="H13" s="6" t="s">
        <v>148</v>
      </c>
      <c r="I13" s="6" t="s">
        <v>149</v>
      </c>
      <c r="J13" s="15" t="s">
        <v>150</v>
      </c>
      <c r="K13" s="16" t="s">
        <v>28</v>
      </c>
      <c r="L13" s="17" t="n">
        <v>1</v>
      </c>
      <c r="M13" s="17" t="n">
        <v>5</v>
      </c>
      <c r="N13" s="14" t="n">
        <f aca="false">AVERAGE(L13:M13)</f>
        <v>3</v>
      </c>
      <c r="O13" s="6" t="s">
        <v>92</v>
      </c>
      <c r="P13" s="18" t="s">
        <v>38</v>
      </c>
      <c r="Q13" s="19"/>
      <c r="R13" s="10"/>
    </row>
    <row r="14" customFormat="false" ht="15" hidden="false" customHeight="false" outlineLevel="0" collapsed="false">
      <c r="A14" s="7" t="n">
        <v>13</v>
      </c>
      <c r="B14" s="12" t="s">
        <v>151</v>
      </c>
      <c r="C14" s="6" t="s">
        <v>128</v>
      </c>
      <c r="D14" s="6" t="s">
        <v>27</v>
      </c>
      <c r="E14" s="6" t="s">
        <v>108</v>
      </c>
      <c r="F14" s="6" t="s">
        <v>66</v>
      </c>
      <c r="G14" s="7" t="n">
        <v>8</v>
      </c>
      <c r="H14" s="6" t="s">
        <v>152</v>
      </c>
      <c r="I14" s="6" t="s">
        <v>153</v>
      </c>
      <c r="J14" s="15" t="s">
        <v>154</v>
      </c>
      <c r="K14" s="16" t="s">
        <v>28</v>
      </c>
      <c r="L14" s="17" t="n">
        <v>2</v>
      </c>
      <c r="M14" s="17" t="n">
        <v>6</v>
      </c>
      <c r="N14" s="14" t="n">
        <f aca="false">AVERAGE(L14:M14)</f>
        <v>4</v>
      </c>
      <c r="O14" s="6" t="s">
        <v>92</v>
      </c>
      <c r="P14" s="18" t="s">
        <v>38</v>
      </c>
      <c r="Q14" s="19"/>
      <c r="R14" s="10"/>
    </row>
    <row r="15" customFormat="false" ht="15" hidden="false" customHeight="false" outlineLevel="0" collapsed="false">
      <c r="A15" s="7" t="n">
        <v>14</v>
      </c>
      <c r="B15" s="12" t="s">
        <v>155</v>
      </c>
      <c r="C15" s="6" t="s">
        <v>156</v>
      </c>
      <c r="D15" s="6" t="s">
        <v>29</v>
      </c>
      <c r="E15" s="6" t="s">
        <v>157</v>
      </c>
      <c r="F15" s="6" t="s">
        <v>66</v>
      </c>
      <c r="G15" s="7" t="n">
        <v>8</v>
      </c>
      <c r="H15" s="6" t="s">
        <v>158</v>
      </c>
      <c r="I15" s="6" t="s">
        <v>159</v>
      </c>
      <c r="J15" s="15" t="s">
        <v>160</v>
      </c>
      <c r="K15" s="16" t="s">
        <v>28</v>
      </c>
      <c r="L15" s="17" t="n">
        <v>3</v>
      </c>
      <c r="M15" s="17" t="n">
        <v>10</v>
      </c>
      <c r="N15" s="14" t="n">
        <f aca="false">AVERAGE(L15:M15)</f>
        <v>6.5</v>
      </c>
      <c r="O15" s="6" t="s">
        <v>161</v>
      </c>
      <c r="P15" s="18" t="s">
        <v>38</v>
      </c>
      <c r="Q15" s="19"/>
      <c r="R15" s="10"/>
    </row>
    <row r="16" customFormat="false" ht="23.85" hidden="false" customHeight="false" outlineLevel="0" collapsed="false">
      <c r="A16" s="7" t="n">
        <v>15</v>
      </c>
      <c r="B16" s="12" t="s">
        <v>162</v>
      </c>
      <c r="C16" s="6" t="s">
        <v>163</v>
      </c>
      <c r="D16" s="6" t="s">
        <v>31</v>
      </c>
      <c r="E16" s="6" t="s">
        <v>69</v>
      </c>
      <c r="F16" s="6" t="s">
        <v>164</v>
      </c>
      <c r="G16" s="7" t="n">
        <v>10</v>
      </c>
      <c r="H16" s="6" t="s">
        <v>165</v>
      </c>
      <c r="I16" s="6" t="s">
        <v>145</v>
      </c>
      <c r="J16" s="15" t="s">
        <v>146</v>
      </c>
      <c r="K16" s="16" t="s">
        <v>30</v>
      </c>
      <c r="L16" s="17" t="n">
        <v>3</v>
      </c>
      <c r="M16" s="17" t="n">
        <v>8</v>
      </c>
      <c r="N16" s="14" t="n">
        <f aca="false">AVERAGE(L16:M16)</f>
        <v>5.5</v>
      </c>
      <c r="O16" s="6" t="s">
        <v>92</v>
      </c>
      <c r="P16" s="18" t="s">
        <v>38</v>
      </c>
      <c r="Q16" s="19"/>
      <c r="R16" s="10"/>
    </row>
    <row r="17" customFormat="false" ht="15" hidden="false" customHeight="false" outlineLevel="0" collapsed="false">
      <c r="A17" s="7" t="n">
        <v>16</v>
      </c>
      <c r="B17" s="12" t="s">
        <v>166</v>
      </c>
      <c r="C17" s="6" t="s">
        <v>167</v>
      </c>
      <c r="D17" s="6" t="s">
        <v>31</v>
      </c>
      <c r="E17" s="6" t="s">
        <v>168</v>
      </c>
      <c r="F17" s="6" t="s">
        <v>68</v>
      </c>
      <c r="G17" s="7" t="n">
        <v>10</v>
      </c>
      <c r="H17" s="6" t="s">
        <v>169</v>
      </c>
      <c r="I17" s="6" t="s">
        <v>145</v>
      </c>
      <c r="J17" s="15" t="s">
        <v>146</v>
      </c>
      <c r="K17" s="16" t="s">
        <v>30</v>
      </c>
      <c r="L17" s="17" t="n">
        <v>3</v>
      </c>
      <c r="M17" s="17" t="n">
        <v>8</v>
      </c>
      <c r="N17" s="14" t="n">
        <f aca="false">AVERAGE(L17:M17)</f>
        <v>5.5</v>
      </c>
      <c r="O17" s="6" t="s">
        <v>92</v>
      </c>
      <c r="P17" s="18" t="s">
        <v>38</v>
      </c>
      <c r="Q17" s="19"/>
      <c r="R17" s="10"/>
    </row>
    <row r="18" customFormat="false" ht="23.85" hidden="false" customHeight="false" outlineLevel="0" collapsed="false">
      <c r="A18" s="7" t="n">
        <v>17</v>
      </c>
      <c r="B18" s="12" t="s">
        <v>170</v>
      </c>
      <c r="C18" s="6" t="s">
        <v>107</v>
      </c>
      <c r="D18" s="6" t="s">
        <v>33</v>
      </c>
      <c r="E18" s="6" t="s">
        <v>171</v>
      </c>
      <c r="F18" s="6" t="s">
        <v>69</v>
      </c>
      <c r="G18" s="7" t="n">
        <v>11</v>
      </c>
      <c r="H18" s="6" t="s">
        <v>172</v>
      </c>
      <c r="I18" s="6" t="s">
        <v>173</v>
      </c>
      <c r="J18" s="15" t="s">
        <v>174</v>
      </c>
      <c r="K18" s="16" t="s">
        <v>28</v>
      </c>
      <c r="L18" s="17" t="n">
        <v>2</v>
      </c>
      <c r="M18" s="17" t="n">
        <v>15</v>
      </c>
      <c r="N18" s="14" t="n">
        <f aca="false">AVERAGE(L18:M18)</f>
        <v>8.5</v>
      </c>
      <c r="O18" s="6" t="s">
        <v>175</v>
      </c>
      <c r="P18" s="18" t="s">
        <v>38</v>
      </c>
      <c r="Q18" s="19"/>
      <c r="R18" s="10"/>
    </row>
    <row r="19" customFormat="false" ht="23.85" hidden="false" customHeight="false" outlineLevel="0" collapsed="false">
      <c r="A19" s="7" t="n">
        <v>18</v>
      </c>
      <c r="B19" s="12" t="s">
        <v>176</v>
      </c>
      <c r="C19" s="6" t="s">
        <v>133</v>
      </c>
      <c r="D19" s="6" t="s">
        <v>33</v>
      </c>
      <c r="E19" s="6" t="s">
        <v>177</v>
      </c>
      <c r="F19" s="6" t="s">
        <v>178</v>
      </c>
      <c r="G19" s="7" t="n">
        <v>8</v>
      </c>
      <c r="H19" s="6" t="s">
        <v>179</v>
      </c>
      <c r="I19" s="6" t="s">
        <v>180</v>
      </c>
      <c r="J19" s="15" t="s">
        <v>181</v>
      </c>
      <c r="K19" s="16" t="s">
        <v>26</v>
      </c>
      <c r="L19" s="17" t="n">
        <v>2</v>
      </c>
      <c r="M19" s="17" t="n">
        <v>39</v>
      </c>
      <c r="N19" s="14" t="n">
        <f aca="false">AVERAGE(L19:M19)</f>
        <v>20.5</v>
      </c>
      <c r="O19" s="6"/>
      <c r="P19" s="18" t="s">
        <v>38</v>
      </c>
      <c r="Q19" s="19"/>
      <c r="R19" s="10"/>
    </row>
    <row r="20" customFormat="false" ht="23.85" hidden="false" customHeight="false" outlineLevel="0" collapsed="false">
      <c r="A20" s="7" t="n">
        <v>19</v>
      </c>
      <c r="B20" s="12" t="s">
        <v>182</v>
      </c>
      <c r="C20" s="6" t="s">
        <v>133</v>
      </c>
      <c r="D20" s="6" t="s">
        <v>34</v>
      </c>
      <c r="E20" s="6" t="s">
        <v>183</v>
      </c>
      <c r="F20" s="6" t="s">
        <v>66</v>
      </c>
      <c r="G20" s="7" t="n">
        <v>8</v>
      </c>
      <c r="H20" s="6" t="s">
        <v>184</v>
      </c>
      <c r="I20" s="6" t="s">
        <v>185</v>
      </c>
      <c r="J20" s="15" t="s">
        <v>186</v>
      </c>
      <c r="K20" s="16" t="s">
        <v>26</v>
      </c>
      <c r="L20" s="17" t="n">
        <v>2</v>
      </c>
      <c r="M20" s="17" t="n">
        <v>39</v>
      </c>
      <c r="N20" s="14" t="n">
        <f aca="false">AVERAGE(L20:M20)</f>
        <v>20.5</v>
      </c>
      <c r="O20" s="6" t="s">
        <v>187</v>
      </c>
      <c r="P20" s="18" t="s">
        <v>38</v>
      </c>
      <c r="Q20" s="19"/>
      <c r="R20" s="10"/>
    </row>
    <row r="21" customFormat="false" ht="15" hidden="false" customHeight="false" outlineLevel="0" collapsed="false">
      <c r="A21" s="7" t="n">
        <v>20</v>
      </c>
      <c r="B21" s="12" t="s">
        <v>188</v>
      </c>
      <c r="C21" s="6" t="s">
        <v>133</v>
      </c>
      <c r="D21" s="6" t="s">
        <v>33</v>
      </c>
      <c r="E21" s="6" t="s">
        <v>177</v>
      </c>
      <c r="F21" s="6" t="s">
        <v>69</v>
      </c>
      <c r="G21" s="7" t="n">
        <v>11</v>
      </c>
      <c r="H21" s="6" t="s">
        <v>189</v>
      </c>
      <c r="I21" s="6" t="s">
        <v>190</v>
      </c>
      <c r="J21" s="15" t="s">
        <v>191</v>
      </c>
      <c r="K21" s="16" t="s">
        <v>28</v>
      </c>
      <c r="L21" s="17" t="n">
        <v>2</v>
      </c>
      <c r="M21" s="17" t="n">
        <v>8</v>
      </c>
      <c r="N21" s="14" t="n">
        <f aca="false">AVERAGE(L21:M21)</f>
        <v>5</v>
      </c>
      <c r="O21" s="6"/>
      <c r="P21" s="18" t="s">
        <v>38</v>
      </c>
      <c r="Q21" s="19"/>
      <c r="R21" s="10"/>
    </row>
    <row r="22" customFormat="false" ht="23.85" hidden="false" customHeight="false" outlineLevel="0" collapsed="false">
      <c r="A22" s="7" t="n">
        <v>21</v>
      </c>
      <c r="B22" s="12" t="s">
        <v>192</v>
      </c>
      <c r="C22" s="6" t="s">
        <v>193</v>
      </c>
      <c r="D22" s="6" t="s">
        <v>34</v>
      </c>
      <c r="E22" s="6" t="s">
        <v>194</v>
      </c>
      <c r="F22" s="6" t="s">
        <v>101</v>
      </c>
      <c r="G22" s="7" t="n">
        <v>11</v>
      </c>
      <c r="H22" s="6" t="s">
        <v>195</v>
      </c>
      <c r="I22" s="6" t="s">
        <v>196</v>
      </c>
      <c r="J22" s="15" t="s">
        <v>197</v>
      </c>
      <c r="K22" s="16" t="s">
        <v>198</v>
      </c>
      <c r="L22" s="17" t="n">
        <v>1</v>
      </c>
      <c r="M22" s="17" t="n">
        <v>15</v>
      </c>
      <c r="N22" s="14" t="n">
        <f aca="false">AVERAGE(L22:M22)</f>
        <v>8</v>
      </c>
      <c r="O22" s="6" t="s">
        <v>199</v>
      </c>
      <c r="P22" s="18" t="s">
        <v>38</v>
      </c>
      <c r="Q22" s="19"/>
      <c r="R22" s="10"/>
    </row>
    <row r="23" customFormat="false" ht="15" hidden="false" customHeight="false" outlineLevel="0" collapsed="false">
      <c r="A23" s="7" t="n">
        <v>22</v>
      </c>
      <c r="B23" s="12" t="s">
        <v>200</v>
      </c>
      <c r="C23" s="6" t="s">
        <v>163</v>
      </c>
      <c r="D23" s="6" t="s">
        <v>34</v>
      </c>
      <c r="E23" s="6" t="s">
        <v>201</v>
      </c>
      <c r="F23" s="6" t="s">
        <v>202</v>
      </c>
      <c r="G23" s="7" t="n">
        <v>12</v>
      </c>
      <c r="H23" s="6" t="s">
        <v>203</v>
      </c>
      <c r="I23" s="6" t="s">
        <v>204</v>
      </c>
      <c r="J23" s="15" t="s">
        <v>205</v>
      </c>
      <c r="K23" s="16" t="s">
        <v>26</v>
      </c>
      <c r="L23" s="17" t="n">
        <v>5</v>
      </c>
      <c r="M23" s="17" t="n">
        <v>20</v>
      </c>
      <c r="N23" s="14" t="n">
        <f aca="false">AVERAGE(L23:M23)</f>
        <v>12.5</v>
      </c>
      <c r="O23" s="6"/>
      <c r="P23" s="18" t="s">
        <v>38</v>
      </c>
      <c r="Q23" s="19"/>
      <c r="R23" s="10"/>
    </row>
    <row r="24" customFormat="false" ht="23.85" hidden="false" customHeight="false" outlineLevel="0" collapsed="false">
      <c r="A24" s="7" t="n">
        <v>23</v>
      </c>
      <c r="B24" s="12" t="s">
        <v>206</v>
      </c>
      <c r="C24" s="6" t="s">
        <v>100</v>
      </c>
      <c r="D24" s="6" t="s">
        <v>35</v>
      </c>
      <c r="E24" s="6" t="s">
        <v>207</v>
      </c>
      <c r="F24" s="6" t="s">
        <v>70</v>
      </c>
      <c r="G24" s="7" t="n">
        <v>12</v>
      </c>
      <c r="H24" s="6" t="s">
        <v>208</v>
      </c>
      <c r="I24" s="6" t="s">
        <v>209</v>
      </c>
      <c r="J24" s="15" t="s">
        <v>210</v>
      </c>
      <c r="K24" s="16" t="s">
        <v>28</v>
      </c>
      <c r="L24" s="17" t="n">
        <v>1.25</v>
      </c>
      <c r="M24" s="17" t="n">
        <v>4</v>
      </c>
      <c r="N24" s="14" t="n">
        <f aca="false">AVERAGE(L24:M24)</f>
        <v>2.625</v>
      </c>
      <c r="O24" s="6"/>
      <c r="P24" s="18" t="s">
        <v>38</v>
      </c>
      <c r="Q24" s="19"/>
      <c r="R24" s="10"/>
    </row>
    <row r="25" customFormat="false" ht="23.85" hidden="false" customHeight="false" outlineLevel="0" collapsed="false">
      <c r="A25" s="7" t="n">
        <v>24</v>
      </c>
      <c r="B25" s="12" t="s">
        <v>211</v>
      </c>
      <c r="C25" s="6" t="s">
        <v>100</v>
      </c>
      <c r="D25" s="6" t="s">
        <v>35</v>
      </c>
      <c r="E25" s="6" t="s">
        <v>212</v>
      </c>
      <c r="F25" s="6" t="s">
        <v>70</v>
      </c>
      <c r="G25" s="7" t="n">
        <v>12</v>
      </c>
      <c r="H25" s="6" t="s">
        <v>213</v>
      </c>
      <c r="I25" s="6" t="s">
        <v>214</v>
      </c>
      <c r="J25" s="15" t="s">
        <v>215</v>
      </c>
      <c r="K25" s="16" t="s">
        <v>28</v>
      </c>
      <c r="L25" s="17" t="n">
        <v>3</v>
      </c>
      <c r="M25" s="17" t="n">
        <v>8</v>
      </c>
      <c r="N25" s="14" t="n">
        <f aca="false">AVERAGE(L25:M25)</f>
        <v>5.5</v>
      </c>
      <c r="O25" s="6" t="s">
        <v>92</v>
      </c>
      <c r="P25" s="18" t="s">
        <v>38</v>
      </c>
      <c r="Q25" s="19"/>
      <c r="R25" s="10"/>
    </row>
    <row r="26" customFormat="false" ht="15" hidden="false" customHeight="false" outlineLevel="0" collapsed="false">
      <c r="A26" s="7" t="n">
        <v>25</v>
      </c>
      <c r="B26" s="12" t="s">
        <v>216</v>
      </c>
      <c r="C26" s="6" t="s">
        <v>107</v>
      </c>
      <c r="D26" s="6" t="s">
        <v>35</v>
      </c>
      <c r="E26" s="6" t="s">
        <v>212</v>
      </c>
      <c r="F26" s="6" t="s">
        <v>101</v>
      </c>
      <c r="G26" s="7" t="n">
        <v>11</v>
      </c>
      <c r="H26" s="6" t="s">
        <v>217</v>
      </c>
      <c r="I26" s="6" t="s">
        <v>218</v>
      </c>
      <c r="J26" s="15" t="s">
        <v>219</v>
      </c>
      <c r="K26" s="16" t="s">
        <v>30</v>
      </c>
      <c r="L26" s="17" t="n">
        <v>3</v>
      </c>
      <c r="M26" s="17" t="n">
        <v>8</v>
      </c>
      <c r="N26" s="14" t="n">
        <f aca="false">AVERAGE(L26:M26)</f>
        <v>5.5</v>
      </c>
      <c r="O26" s="6" t="s">
        <v>92</v>
      </c>
      <c r="P26" s="18" t="s">
        <v>38</v>
      </c>
      <c r="Q26" s="19"/>
      <c r="R26" s="10"/>
    </row>
    <row r="27" customFormat="false" ht="23.85" hidden="false" customHeight="false" outlineLevel="0" collapsed="false">
      <c r="A27" s="7" t="n">
        <v>26</v>
      </c>
      <c r="B27" s="12" t="s">
        <v>220</v>
      </c>
      <c r="C27" s="6" t="s">
        <v>128</v>
      </c>
      <c r="D27" s="6" t="s">
        <v>37</v>
      </c>
      <c r="E27" s="6" t="s">
        <v>221</v>
      </c>
      <c r="F27" s="6" t="s">
        <v>70</v>
      </c>
      <c r="G27" s="7" t="n">
        <v>12</v>
      </c>
      <c r="H27" s="6" t="s">
        <v>222</v>
      </c>
      <c r="I27" s="6" t="s">
        <v>190</v>
      </c>
      <c r="J27" s="15" t="s">
        <v>223</v>
      </c>
      <c r="K27" s="16" t="s">
        <v>28</v>
      </c>
      <c r="L27" s="17" t="n">
        <v>1.74</v>
      </c>
      <c r="M27" s="17" t="n">
        <v>5.16</v>
      </c>
      <c r="N27" s="14" t="n">
        <f aca="false">AVERAGE(L27:M27)</f>
        <v>3.45</v>
      </c>
      <c r="O27" s="6" t="s">
        <v>224</v>
      </c>
      <c r="P27" s="18" t="s">
        <v>38</v>
      </c>
      <c r="Q27" s="19"/>
      <c r="R27" s="10"/>
    </row>
    <row r="28" customFormat="false" ht="15" hidden="false" customHeight="false" outlineLevel="0" collapsed="false">
      <c r="A28" s="7" t="n">
        <v>27</v>
      </c>
      <c r="B28" s="12" t="s">
        <v>225</v>
      </c>
      <c r="C28" s="6" t="s">
        <v>100</v>
      </c>
      <c r="D28" s="6" t="s">
        <v>37</v>
      </c>
      <c r="E28" s="6" t="s">
        <v>226</v>
      </c>
      <c r="F28" s="6" t="s">
        <v>57</v>
      </c>
      <c r="G28" s="7" t="n">
        <v>1</v>
      </c>
      <c r="H28" s="6" t="s">
        <v>227</v>
      </c>
      <c r="I28" s="6" t="s">
        <v>190</v>
      </c>
      <c r="J28" s="15" t="s">
        <v>228</v>
      </c>
      <c r="K28" s="16" t="s">
        <v>28</v>
      </c>
      <c r="L28" s="17" t="n">
        <v>2</v>
      </c>
      <c r="M28" s="17" t="n">
        <v>6</v>
      </c>
      <c r="N28" s="14" t="n">
        <f aca="false">AVERAGE(L28:M28)</f>
        <v>4</v>
      </c>
      <c r="O28" s="6" t="s">
        <v>229</v>
      </c>
      <c r="P28" s="18" t="s">
        <v>38</v>
      </c>
      <c r="Q28" s="19"/>
      <c r="R28" s="10"/>
    </row>
    <row r="29" customFormat="false" ht="15" hidden="false" customHeight="false" outlineLevel="0" collapsed="false">
      <c r="A29" s="7" t="n">
        <v>28</v>
      </c>
      <c r="B29" s="12" t="s">
        <v>230</v>
      </c>
      <c r="C29" s="6" t="s">
        <v>128</v>
      </c>
      <c r="D29" s="6" t="s">
        <v>39</v>
      </c>
      <c r="E29" s="6" t="s">
        <v>231</v>
      </c>
      <c r="F29" s="6" t="s">
        <v>57</v>
      </c>
      <c r="G29" s="7" t="n">
        <v>1</v>
      </c>
      <c r="H29" s="6" t="s">
        <v>232</v>
      </c>
      <c r="I29" s="6" t="s">
        <v>233</v>
      </c>
      <c r="J29" s="15" t="s">
        <v>234</v>
      </c>
      <c r="K29" s="16" t="s">
        <v>28</v>
      </c>
      <c r="L29" s="17" t="n">
        <v>2</v>
      </c>
      <c r="M29" s="17" t="n">
        <v>6</v>
      </c>
      <c r="N29" s="14" t="n">
        <f aca="false">AVERAGE(L29:M29)</f>
        <v>4</v>
      </c>
      <c r="O29" s="6" t="s">
        <v>235</v>
      </c>
      <c r="P29" s="18" t="s">
        <v>38</v>
      </c>
      <c r="Q29" s="19"/>
      <c r="R29" s="10"/>
    </row>
    <row r="30" customFormat="false" ht="23.85" hidden="false" customHeight="false" outlineLevel="0" collapsed="false">
      <c r="A30" s="7" t="n">
        <v>29</v>
      </c>
      <c r="B30" s="12" t="s">
        <v>236</v>
      </c>
      <c r="C30" s="6" t="s">
        <v>100</v>
      </c>
      <c r="D30" s="6" t="s">
        <v>41</v>
      </c>
      <c r="E30" s="6" t="s">
        <v>237</v>
      </c>
      <c r="F30" s="6" t="s">
        <v>61</v>
      </c>
      <c r="G30" s="7" t="n">
        <v>3</v>
      </c>
      <c r="H30" s="6" t="s">
        <v>238</v>
      </c>
      <c r="I30" s="6" t="s">
        <v>239</v>
      </c>
      <c r="J30" s="15" t="s">
        <v>240</v>
      </c>
      <c r="K30" s="16" t="s">
        <v>30</v>
      </c>
      <c r="L30" s="17" t="n">
        <v>3</v>
      </c>
      <c r="M30" s="17" t="n">
        <v>8</v>
      </c>
      <c r="N30" s="14" t="n">
        <f aca="false">AVERAGE(L30:M30)</f>
        <v>5.5</v>
      </c>
      <c r="O30" s="6" t="s">
        <v>241</v>
      </c>
      <c r="P30" s="18" t="s">
        <v>38</v>
      </c>
      <c r="Q30" s="19"/>
      <c r="R30" s="10"/>
    </row>
    <row r="31" customFormat="false" ht="15" hidden="false" customHeight="false" outlineLevel="0" collapsed="false">
      <c r="A31" s="7" t="n">
        <v>30</v>
      </c>
      <c r="B31" s="12" t="s">
        <v>242</v>
      </c>
      <c r="C31" s="6" t="s">
        <v>100</v>
      </c>
      <c r="D31" s="6" t="s">
        <v>43</v>
      </c>
      <c r="E31" s="6" t="s">
        <v>243</v>
      </c>
      <c r="F31" s="6" t="s">
        <v>62</v>
      </c>
      <c r="G31" s="7" t="n">
        <v>4</v>
      </c>
      <c r="H31" s="6" t="s">
        <v>244</v>
      </c>
      <c r="I31" s="6" t="s">
        <v>245</v>
      </c>
      <c r="J31" s="15" t="s">
        <v>246</v>
      </c>
      <c r="K31" s="16" t="s">
        <v>30</v>
      </c>
      <c r="L31" s="17" t="n">
        <v>3</v>
      </c>
      <c r="M31" s="17" t="n">
        <v>8</v>
      </c>
      <c r="N31" s="14" t="n">
        <f aca="false">AVERAGE(L31:M31)</f>
        <v>5.5</v>
      </c>
      <c r="O31" s="6" t="s">
        <v>247</v>
      </c>
      <c r="P31" s="18" t="s">
        <v>38</v>
      </c>
      <c r="Q31" s="19"/>
      <c r="R31" s="10"/>
    </row>
    <row r="32" customFormat="false" ht="15" hidden="false" customHeight="false" outlineLevel="0" collapsed="false">
      <c r="A32" s="7" t="n">
        <v>31</v>
      </c>
      <c r="B32" s="12" t="s">
        <v>248</v>
      </c>
      <c r="C32" s="6" t="s">
        <v>100</v>
      </c>
      <c r="D32" s="6" t="s">
        <v>45</v>
      </c>
      <c r="E32" s="6" t="s">
        <v>249</v>
      </c>
      <c r="F32" s="6" t="s">
        <v>231</v>
      </c>
      <c r="G32" s="7" t="n">
        <v>3</v>
      </c>
      <c r="H32" s="6" t="s">
        <v>250</v>
      </c>
      <c r="I32" s="6" t="s">
        <v>245</v>
      </c>
      <c r="J32" s="15" t="s">
        <v>246</v>
      </c>
      <c r="K32" s="16" t="s">
        <v>30</v>
      </c>
      <c r="L32" s="17" t="n">
        <v>3</v>
      </c>
      <c r="M32" s="17" t="n">
        <v>8</v>
      </c>
      <c r="N32" s="14" t="n">
        <f aca="false">AVERAGE(L32:M32)</f>
        <v>5.5</v>
      </c>
      <c r="O32" s="6" t="s">
        <v>251</v>
      </c>
      <c r="P32" s="18" t="s">
        <v>38</v>
      </c>
      <c r="Q32" s="19"/>
      <c r="R32" s="10"/>
    </row>
    <row r="33" customFormat="false" ht="23.85" hidden="false" customHeight="false" outlineLevel="0" collapsed="false">
      <c r="A33" s="7" t="n">
        <v>32</v>
      </c>
      <c r="B33" s="12" t="s">
        <v>252</v>
      </c>
      <c r="C33" s="6" t="s">
        <v>107</v>
      </c>
      <c r="D33" s="6" t="s">
        <v>34</v>
      </c>
      <c r="E33" s="6" t="s">
        <v>253</v>
      </c>
      <c r="F33" s="6" t="s">
        <v>254</v>
      </c>
      <c r="G33" s="7" t="s">
        <v>254</v>
      </c>
      <c r="H33" s="6" t="s">
        <v>255</v>
      </c>
      <c r="I33" s="6" t="s">
        <v>190</v>
      </c>
      <c r="J33" s="15" t="s">
        <v>256</v>
      </c>
      <c r="K33" s="16" t="s">
        <v>28</v>
      </c>
      <c r="L33" s="17" t="n">
        <v>4</v>
      </c>
      <c r="M33" s="17" t="n">
        <v>12</v>
      </c>
      <c r="N33" s="14" t="n">
        <f aca="false">AVERAGE(L33:M33)</f>
        <v>8</v>
      </c>
      <c r="O33" s="6"/>
      <c r="P33" s="18" t="s">
        <v>38</v>
      </c>
      <c r="Q33" s="19"/>
      <c r="R33" s="10"/>
    </row>
    <row r="34" customFormat="false" ht="15" hidden="false" customHeight="false" outlineLevel="0" collapsed="false">
      <c r="A34" s="7" t="n">
        <v>33</v>
      </c>
      <c r="B34" s="12" t="s">
        <v>257</v>
      </c>
      <c r="C34" s="6" t="s">
        <v>107</v>
      </c>
      <c r="D34" s="6" t="s">
        <v>34</v>
      </c>
      <c r="E34" s="6" t="s">
        <v>258</v>
      </c>
      <c r="F34" s="6" t="s">
        <v>254</v>
      </c>
      <c r="G34" s="7" t="s">
        <v>254</v>
      </c>
      <c r="H34" s="6" t="s">
        <v>259</v>
      </c>
      <c r="I34" s="6" t="s">
        <v>190</v>
      </c>
      <c r="J34" s="15" t="s">
        <v>260</v>
      </c>
      <c r="K34" s="16" t="s">
        <v>28</v>
      </c>
      <c r="L34" s="17" t="n">
        <v>4</v>
      </c>
      <c r="M34" s="17" t="n">
        <v>12</v>
      </c>
      <c r="N34" s="14" t="n">
        <f aca="false">AVERAGE(L34:M34)</f>
        <v>8</v>
      </c>
      <c r="O34" s="6"/>
      <c r="P34" s="18" t="s">
        <v>38</v>
      </c>
      <c r="Q34" s="19"/>
      <c r="R34" s="10"/>
    </row>
    <row r="35" customFormat="false" ht="23.85" hidden="false" customHeight="false" outlineLevel="0" collapsed="false">
      <c r="A35" s="7" t="n">
        <v>34</v>
      </c>
      <c r="B35" s="12" t="s">
        <v>261</v>
      </c>
      <c r="C35" s="6" t="s">
        <v>163</v>
      </c>
      <c r="D35" s="6" t="s">
        <v>47</v>
      </c>
      <c r="E35" s="6" t="s">
        <v>262</v>
      </c>
      <c r="F35" s="6" t="s">
        <v>263</v>
      </c>
      <c r="G35" s="7" t="n">
        <v>1</v>
      </c>
      <c r="H35" s="6" t="s">
        <v>264</v>
      </c>
      <c r="I35" s="6" t="s">
        <v>265</v>
      </c>
      <c r="J35" s="15" t="s">
        <v>266</v>
      </c>
      <c r="K35" s="16" t="s">
        <v>28</v>
      </c>
      <c r="L35" s="17" t="n">
        <v>5</v>
      </c>
      <c r="M35" s="17" t="n">
        <v>20</v>
      </c>
      <c r="N35" s="14" t="n">
        <f aca="false">AVERAGE(L35:M35)</f>
        <v>12.5</v>
      </c>
      <c r="O35" s="6" t="s">
        <v>267</v>
      </c>
      <c r="P35" s="18" t="s">
        <v>38</v>
      </c>
      <c r="Q35" s="19"/>
      <c r="R35" s="10"/>
    </row>
    <row r="36" customFormat="false" ht="15" hidden="false" customHeight="false" outlineLevel="0" collapsed="false">
      <c r="A36" s="7" t="n">
        <v>35</v>
      </c>
      <c r="B36" s="12" t="s">
        <v>268</v>
      </c>
      <c r="C36" s="6" t="s">
        <v>133</v>
      </c>
      <c r="D36" s="6" t="s">
        <v>49</v>
      </c>
      <c r="E36" s="6" t="s">
        <v>269</v>
      </c>
      <c r="F36" s="6" t="s">
        <v>249</v>
      </c>
      <c r="G36" s="7" t="n">
        <v>5</v>
      </c>
      <c r="H36" s="6" t="s">
        <v>270</v>
      </c>
      <c r="I36" s="6" t="s">
        <v>185</v>
      </c>
      <c r="J36" s="15" t="s">
        <v>271</v>
      </c>
      <c r="K36" s="16" t="s">
        <v>30</v>
      </c>
      <c r="L36" s="17" t="n">
        <v>3</v>
      </c>
      <c r="M36" s="17" t="n">
        <v>10</v>
      </c>
      <c r="N36" s="14" t="n">
        <f aca="false">AVERAGE(L36:M36)</f>
        <v>6.5</v>
      </c>
      <c r="O36" s="6" t="s">
        <v>272</v>
      </c>
      <c r="P36" s="18" t="s">
        <v>38</v>
      </c>
      <c r="Q36" s="19"/>
      <c r="R36" s="10"/>
    </row>
    <row r="37" customFormat="false" ht="15" hidden="false" customHeight="false" outlineLevel="0" collapsed="false">
      <c r="A37" s="7" t="n">
        <v>36</v>
      </c>
      <c r="B37" s="12" t="s">
        <v>273</v>
      </c>
      <c r="C37" s="6" t="s">
        <v>163</v>
      </c>
      <c r="D37" s="6" t="s">
        <v>49</v>
      </c>
      <c r="E37" s="6" t="s">
        <v>274</v>
      </c>
      <c r="F37" s="6" t="s">
        <v>249</v>
      </c>
      <c r="G37" s="7" t="n">
        <v>5</v>
      </c>
      <c r="H37" s="6" t="s">
        <v>275</v>
      </c>
      <c r="I37" s="6" t="s">
        <v>190</v>
      </c>
      <c r="J37" s="15" t="s">
        <v>276</v>
      </c>
      <c r="K37" s="16" t="s">
        <v>30</v>
      </c>
      <c r="L37" s="17" t="n">
        <v>1.5</v>
      </c>
      <c r="M37" s="17" t="n">
        <v>3</v>
      </c>
      <c r="N37" s="14" t="n">
        <f aca="false">AVERAGE(L37:M37)</f>
        <v>2.25</v>
      </c>
      <c r="O37" s="6"/>
      <c r="P37" s="18" t="s">
        <v>38</v>
      </c>
      <c r="Q37" s="19"/>
      <c r="R37" s="10"/>
    </row>
    <row r="38" customFormat="false" ht="15" hidden="false" customHeight="false" outlineLevel="0" collapsed="false">
      <c r="A38" s="7" t="n">
        <v>37</v>
      </c>
      <c r="B38" s="12" t="s">
        <v>277</v>
      </c>
      <c r="C38" s="6" t="s">
        <v>100</v>
      </c>
      <c r="D38" s="6" t="s">
        <v>49</v>
      </c>
      <c r="E38" s="6" t="s">
        <v>269</v>
      </c>
      <c r="F38" s="6" t="s">
        <v>249</v>
      </c>
      <c r="G38" s="7" t="n">
        <v>5</v>
      </c>
      <c r="H38" s="6" t="s">
        <v>278</v>
      </c>
      <c r="I38" s="6" t="s">
        <v>279</v>
      </c>
      <c r="J38" s="15" t="s">
        <v>280</v>
      </c>
      <c r="K38" s="16" t="s">
        <v>28</v>
      </c>
      <c r="L38" s="17" t="n">
        <v>1.5</v>
      </c>
      <c r="M38" s="17" t="n">
        <v>3</v>
      </c>
      <c r="N38" s="14" t="n">
        <f aca="false">AVERAGE(L38:M38)</f>
        <v>2.25</v>
      </c>
      <c r="O38" s="6"/>
      <c r="P38" s="18" t="s">
        <v>38</v>
      </c>
      <c r="Q38" s="19"/>
      <c r="R38" s="10"/>
    </row>
    <row r="39" customFormat="false" ht="15" hidden="false" customHeight="false" outlineLevel="0" collapsed="false">
      <c r="A39" s="7" t="n">
        <v>38</v>
      </c>
      <c r="B39" s="12" t="s">
        <v>281</v>
      </c>
      <c r="C39" s="6" t="s">
        <v>163</v>
      </c>
      <c r="D39" s="6" t="s">
        <v>49</v>
      </c>
      <c r="E39" s="6" t="s">
        <v>269</v>
      </c>
      <c r="F39" s="6" t="s">
        <v>63</v>
      </c>
      <c r="G39" s="7" t="n">
        <v>5</v>
      </c>
      <c r="H39" s="6" t="s">
        <v>282</v>
      </c>
      <c r="I39" s="6" t="s">
        <v>190</v>
      </c>
      <c r="J39" s="15" t="s">
        <v>276</v>
      </c>
      <c r="K39" s="16" t="s">
        <v>30</v>
      </c>
      <c r="L39" s="17" t="n">
        <v>2</v>
      </c>
      <c r="M39" s="17" t="n">
        <v>6</v>
      </c>
      <c r="N39" s="14" t="n">
        <f aca="false">AVERAGE(L39:M39)</f>
        <v>4</v>
      </c>
      <c r="O39" s="6" t="s">
        <v>92</v>
      </c>
      <c r="P39" s="18" t="s">
        <v>38</v>
      </c>
      <c r="Q39" s="19"/>
      <c r="R39" s="10"/>
    </row>
    <row r="40" customFormat="false" ht="15" hidden="false" customHeight="false" outlineLevel="0" collapsed="false">
      <c r="A40" s="7" t="n">
        <v>39</v>
      </c>
      <c r="B40" s="12" t="s">
        <v>283</v>
      </c>
      <c r="C40" s="6" t="s">
        <v>163</v>
      </c>
      <c r="D40" s="6" t="s">
        <v>34</v>
      </c>
      <c r="E40" s="6" t="s">
        <v>258</v>
      </c>
      <c r="F40" s="6" t="s">
        <v>254</v>
      </c>
      <c r="G40" s="7" t="s">
        <v>254</v>
      </c>
      <c r="H40" s="6" t="s">
        <v>284</v>
      </c>
      <c r="I40" s="6" t="s">
        <v>285</v>
      </c>
      <c r="J40" s="15" t="s">
        <v>286</v>
      </c>
      <c r="K40" s="16" t="s">
        <v>28</v>
      </c>
      <c r="L40" s="17" t="n">
        <v>2</v>
      </c>
      <c r="M40" s="17" t="n">
        <v>8</v>
      </c>
      <c r="N40" s="14" t="n">
        <f aca="false">AVERAGE(L40:M40)</f>
        <v>5</v>
      </c>
      <c r="O40" s="6"/>
      <c r="P40" s="18" t="s">
        <v>38</v>
      </c>
      <c r="Q40" s="19"/>
      <c r="R40" s="10"/>
    </row>
    <row r="41" customFormat="false" ht="23.85" hidden="false" customHeight="false" outlineLevel="0" collapsed="false">
      <c r="A41" s="7" t="n">
        <v>40</v>
      </c>
      <c r="B41" s="12" t="s">
        <v>287</v>
      </c>
      <c r="C41" s="6" t="s">
        <v>133</v>
      </c>
      <c r="D41" s="6" t="s">
        <v>34</v>
      </c>
      <c r="E41" s="6" t="s">
        <v>288</v>
      </c>
      <c r="F41" s="6" t="s">
        <v>289</v>
      </c>
      <c r="G41" s="7" t="n">
        <v>8</v>
      </c>
      <c r="H41" s="6" t="s">
        <v>290</v>
      </c>
      <c r="I41" s="6" t="s">
        <v>190</v>
      </c>
      <c r="J41" s="15" t="s">
        <v>291</v>
      </c>
      <c r="K41" s="16" t="s">
        <v>292</v>
      </c>
      <c r="L41" s="17" t="n">
        <v>2</v>
      </c>
      <c r="M41" s="17" t="n">
        <v>39</v>
      </c>
      <c r="N41" s="14" t="n">
        <f aca="false">AVERAGE(L41:M41)</f>
        <v>20.5</v>
      </c>
      <c r="O41" s="6" t="s">
        <v>293</v>
      </c>
      <c r="P41" s="18" t="s">
        <v>38</v>
      </c>
      <c r="Q41" s="19"/>
      <c r="R41" s="10"/>
    </row>
    <row r="43" customFormat="false" ht="30" hidden="false" customHeight="true" outlineLevel="0" collapsed="false">
      <c r="A43" s="20" t="s">
        <v>294</v>
      </c>
      <c r="B43" s="21" t="s">
        <v>295</v>
      </c>
      <c r="C43" s="21"/>
      <c r="D43" s="21"/>
      <c r="E43" s="21"/>
      <c r="F43" s="21"/>
      <c r="G43" s="21"/>
      <c r="H43" s="21"/>
      <c r="I43" s="21"/>
      <c r="J43" s="21"/>
    </row>
  </sheetData>
  <autoFilter ref="A1:R41"/>
  <mergeCells count="1">
    <mergeCell ref="B43:J43"/>
  </mergeCells>
  <conditionalFormatting sqref="K2:K41">
    <cfRule type="expression" priority="2" aboveAverage="0" equalAverage="0" bottom="0" percent="0" rank="0" text="" dxfId="9">
      <formula>LEFT($K2,9)="Very high"</formula>
    </cfRule>
    <cfRule type="expression" priority="3" aboveAverage="0" equalAverage="0" bottom="0" percent="0" rank="0" text="" dxfId="10">
      <formula>LEFT($K2,4)="High"</formula>
    </cfRule>
    <cfRule type="expression" priority="4" aboveAverage="0" equalAverage="0" bottom="0" percent="0" rank="0" text="" dxfId="11">
      <formula>LEFT($K2,6)="Medium"</formula>
    </cfRule>
    <cfRule type="expression" priority="5" aboveAverage="0" equalAverage="0" bottom="0" percent="0" rank="0" text="" dxfId="12">
      <formula>LEFT($K2,3)="Low"</formula>
    </cfRule>
  </conditionalFormatting>
  <conditionalFormatting sqref="P2:P41">
    <cfRule type="expression" priority="6" aboveAverage="0" equalAverage="0" bottom="0" percent="0" rank="0" text="" dxfId="13">
      <formula>OR($P2="Listed",$P2="Best seller")</formula>
    </cfRule>
  </conditionalFormatting>
  <dataValidations count="1">
    <dataValidation allowBlank="true" errorStyle="stop" operator="between" showDropDown="false" showErrorMessage="false" showInputMessage="false" sqref="P2:P41" type="list">
      <formula1>"Idea,Banana hai,In progress,Listed,Best seller,Skip"</formula1>
      <formula2>0</formula2>
    </dataValidation>
  </dataValidations>
  <hyperlinks>
    <hyperlink ref="J2" r:id="rId1" display="https://help.erank.com/blog/top-keywords-on-etsy-october-2025/"/>
    <hyperlink ref="J3" r:id="rId2" display="https://help.erank.com/blog/australias-top-etsy-keywords-november-2025/"/>
    <hyperlink ref="J4" r:id="rId3" display="https://etsyhunt.com/best-etsy-christmas-cards"/>
    <hyperlink ref="J5" r:id="rId4" display="https://thefirstbloom.com/10-best-digital-products-to-sell-on-etsy-in-q4-2026/"/>
    <hyperlink ref="J6" r:id="rId5" display="https://www.madeurban.com/blog/the-best-digital-products-to-sell-on-etsy/"/>
    <hyperlink ref="J7" r:id="rId6" display="https://help.erank.com/blog/australias-top-etsy-keywords-november-2024/"/>
    <hyperlink ref="J8" r:id="rId7" display="https://alittlepinchofperf.gumroad.com/l/xprrt"/>
    <hyperlink ref="J9" r:id="rId8" display="https://snazzydesignsforever.com/seasonal-digital-products-to-sell-on-etsy/"/>
    <hyperlink ref="J10" r:id="rId9" display="https://snazzydesignsforever.com/seasonal-digital-products-to-sell-on-etsy/"/>
    <hyperlink ref="J11" r:id="rId10" display="https://www.sunset.com/home-garden/design/etsy-holiday-trends-2025"/>
    <hyperlink ref="J12" r:id="rId11" display="https://blog.marmalead.com/top-selling-fall-products-on-etsy/"/>
    <hyperlink ref="J13" r:id="rId12" display="https://cedcommerce.com/blog/etsy-halloween-2025-trends-report-whats-selling-high-converting-keywords-to-use-now/"/>
    <hyperlink ref="J14" r:id="rId13" display="https://www.etsy.com/market/best_selling_halloween_printables"/>
    <hyperlink ref="J15" r:id="rId14" display="https://www.insightagent.app/trends/etsy-trend-report-2026-fall"/>
    <hyperlink ref="J16" r:id="rId15" display="https://blog.marmalead.com/top-selling-fall-products-on-etsy/"/>
    <hyperlink ref="J17" r:id="rId16" display="https://blog.marmalead.com/top-selling-fall-products-on-etsy/"/>
    <hyperlink ref="J18" r:id="rId17" display="https://www.etsy.com/listing/1383855027"/>
    <hyperlink ref="J19" r:id="rId18" display="https://www.listifyai.net/keyword/digital-planner"/>
    <hyperlink ref="J20" r:id="rId19" display="https://www.rankhero.com/keywords/digital-planner"/>
    <hyperlink ref="J21" r:id="rId20" display="https://www.etsy.com/market/trending_digital_planner_2026_best_seller"/>
    <hyperlink ref="J22" r:id="rId21" display="https://www.goodreads.com/author_blog_posts/24510163-160k-in-2-years-selling-spreadsheet-templates"/>
    <hyperlink ref="J23" r:id="rId22" display="https://stateoftheart.beehiiv.com/p/digital-products-to-sell-on-etsy-in-2026"/>
    <hyperlink ref="J24" r:id="rId23" display="https://help.erank.com/blog/the-uks-top-etsy-keywords-february-2026/"/>
    <hyperlink ref="J25" r:id="rId24" display="https://help.erank.com/blog/top-etsy-searches-q1-2026/"/>
    <hyperlink ref="J26" r:id="rId25" display="https://help.erank.com/blog/top-keywords-on-etsy-january-2025/"/>
    <hyperlink ref="J27" r:id="rId26" display="https://www.etsy.com/market/ramadan_printables"/>
    <hyperlink ref="J28" r:id="rId27" display="https://www.etsy.com/market/eid_printables"/>
    <hyperlink ref="J29" r:id="rId28" display="https://help.erank.com/blog/top-keywords-on-etsy-march-2025/"/>
    <hyperlink ref="J30" r:id="rId29" display="https://help.erank.com/blog/upcoming-2nd-quarter-2025-holidays/"/>
    <hyperlink ref="J31" r:id="rId30" display="https://help.erank.com/blog/top-keywords-on-etsy-may-2025/"/>
    <hyperlink ref="J32" r:id="rId31" display="https://help.erank.com/blog/top-keywords-on-etsy-may-2025/"/>
    <hyperlink ref="J33" r:id="rId32" display="https://www.etsy.com/market/bridal_shower_games_editable"/>
    <hyperlink ref="J34" r:id="rId33" display="https://www.etsy.com/market/baby_shower_game_templates"/>
    <hyperlink ref="J35" r:id="rId34" display="https://www.stylist.co.uk/home/etsy-spring-summer-2026-trends/1067354"/>
    <hyperlink ref="J36" r:id="rId35" display="https://www.rankhero.com/keywords/printable-teacher-planner"/>
    <hyperlink ref="J37" r:id="rId36" display="https://www.etsy.com/market/teacher_printables"/>
    <hyperlink ref="J38" r:id="rId37" display="https://community.etsy.com/forum/etsy-success-300/topic/etsy-insights-whats-trending-for-back-to-school-185685/"/>
    <hyperlink ref="J39" r:id="rId38" display="https://www.etsy.com/market/teacher_printables"/>
    <hyperlink ref="J40" r:id="rId39" display="https://www.theleap.co/blog/digital-products-to-sell-on-etsy/"/>
    <hyperlink ref="J41" r:id="rId40" display="https://www.etsy.com/market/onenote_digital_plann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15" min="4" style="0" width="6"/>
    <col collapsed="false" customWidth="true" hidden="false" outlineLevel="0" max="16" min="16" style="0" width="11"/>
  </cols>
  <sheetData>
    <row r="1" customFormat="false" ht="15" hidden="false" customHeight="false" outlineLevel="0" collapsed="false">
      <c r="A1" s="5" t="s">
        <v>71</v>
      </c>
      <c r="B1" s="5" t="s">
        <v>72</v>
      </c>
      <c r="C1" s="5" t="s">
        <v>296</v>
      </c>
      <c r="D1" s="5" t="s">
        <v>57</v>
      </c>
      <c r="E1" s="5" t="s">
        <v>59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  <c r="L1" s="5" t="s">
        <v>67</v>
      </c>
      <c r="M1" s="5" t="s">
        <v>68</v>
      </c>
      <c r="N1" s="5" t="s">
        <v>69</v>
      </c>
      <c r="O1" s="5" t="s">
        <v>70</v>
      </c>
      <c r="P1" s="5" t="s">
        <v>297</v>
      </c>
    </row>
    <row r="2" customFormat="false" ht="15" hidden="false" customHeight="false" outlineLevel="0" collapsed="false">
      <c r="A2" s="7" t="n">
        <v>1</v>
      </c>
      <c r="B2" s="12" t="str">
        <f aca="false">Products!B2</f>
        <v>Christmas PNG / sublimation bundle</v>
      </c>
      <c r="C2" s="6" t="str">
        <f aca="false">Products!D2</f>
        <v>Christmas</v>
      </c>
      <c r="D2" s="7"/>
      <c r="E2" s="7"/>
      <c r="F2" s="7"/>
      <c r="G2" s="7"/>
      <c r="H2" s="7"/>
      <c r="I2" s="7"/>
      <c r="J2" s="7"/>
      <c r="K2" s="22" t="s">
        <v>298</v>
      </c>
      <c r="L2" s="7"/>
      <c r="M2" s="23" t="s">
        <v>299</v>
      </c>
      <c r="N2" s="23" t="s">
        <v>299</v>
      </c>
      <c r="O2" s="23" t="s">
        <v>299</v>
      </c>
      <c r="P2" s="7" t="str">
        <f aca="false">Products!F2</f>
        <v>Aug</v>
      </c>
    </row>
    <row r="3" customFormat="false" ht="15" hidden="false" customHeight="false" outlineLevel="0" collapsed="false">
      <c r="A3" s="7" t="n">
        <v>2</v>
      </c>
      <c r="B3" s="12" t="str">
        <f aca="false">Products!B3</f>
        <v>Christmas SVG (Cricut) bundle</v>
      </c>
      <c r="C3" s="6" t="str">
        <f aca="false">Products!D3</f>
        <v>Christmas</v>
      </c>
      <c r="D3" s="7"/>
      <c r="E3" s="7"/>
      <c r="F3" s="7"/>
      <c r="G3" s="7"/>
      <c r="H3" s="7"/>
      <c r="I3" s="7"/>
      <c r="J3" s="7"/>
      <c r="K3" s="22" t="s">
        <v>298</v>
      </c>
      <c r="L3" s="23" t="s">
        <v>299</v>
      </c>
      <c r="M3" s="23" t="s">
        <v>299</v>
      </c>
      <c r="N3" s="23" t="s">
        <v>299</v>
      </c>
      <c r="O3" s="7"/>
      <c r="P3" s="7" t="str">
        <f aca="false">Products!F3</f>
        <v>Aug</v>
      </c>
    </row>
    <row r="4" customFormat="false" ht="15" hidden="false" customHeight="false" outlineLevel="0" collapsed="false">
      <c r="A4" s="7" t="n">
        <v>3</v>
      </c>
      <c r="B4" s="12" t="str">
        <f aca="false">Products!B4</f>
        <v>Printable Christmas gift tags (12 Days set)</v>
      </c>
      <c r="C4" s="6" t="str">
        <f aca="false">Products!D4</f>
        <v>Christmas</v>
      </c>
      <c r="D4" s="7"/>
      <c r="E4" s="7"/>
      <c r="F4" s="7"/>
      <c r="G4" s="7"/>
      <c r="H4" s="7"/>
      <c r="I4" s="7"/>
      <c r="J4" s="7"/>
      <c r="K4" s="7"/>
      <c r="L4" s="22" t="s">
        <v>298</v>
      </c>
      <c r="M4" s="7"/>
      <c r="N4" s="23" t="s">
        <v>299</v>
      </c>
      <c r="O4" s="23" t="s">
        <v>299</v>
      </c>
      <c r="P4" s="7" t="str">
        <f aca="false">Products!F4</f>
        <v>Sep</v>
      </c>
    </row>
    <row r="5" customFormat="false" ht="15" hidden="false" customHeight="false" outlineLevel="0" collapsed="false">
      <c r="A5" s="7" t="n">
        <v>4</v>
      </c>
      <c r="B5" s="12" t="str">
        <f aca="false">Products!B5</f>
        <v>Christmas party games printable</v>
      </c>
      <c r="C5" s="6" t="str">
        <f aca="false">Products!D5</f>
        <v>Christmas</v>
      </c>
      <c r="D5" s="7"/>
      <c r="E5" s="7"/>
      <c r="F5" s="7"/>
      <c r="G5" s="7"/>
      <c r="H5" s="7"/>
      <c r="I5" s="7"/>
      <c r="J5" s="7"/>
      <c r="K5" s="7"/>
      <c r="L5" s="22" t="s">
        <v>298</v>
      </c>
      <c r="M5" s="7"/>
      <c r="N5" s="7"/>
      <c r="O5" s="23" t="s">
        <v>299</v>
      </c>
      <c r="P5" s="7" t="str">
        <f aca="false">Products!F5</f>
        <v>Sep–Oct</v>
      </c>
    </row>
    <row r="6" customFormat="false" ht="15" hidden="false" customHeight="false" outlineLevel="0" collapsed="false">
      <c r="A6" s="7" t="n">
        <v>5</v>
      </c>
      <c r="B6" s="12" t="str">
        <f aca="false">Products!B6</f>
        <v>Christmas list / Letter to Santa template</v>
      </c>
      <c r="C6" s="6" t="str">
        <f aca="false">Products!D6</f>
        <v>Christmas</v>
      </c>
      <c r="D6" s="7"/>
      <c r="E6" s="7"/>
      <c r="F6" s="7"/>
      <c r="G6" s="7"/>
      <c r="H6" s="7"/>
      <c r="I6" s="7"/>
      <c r="J6" s="7"/>
      <c r="K6" s="7"/>
      <c r="L6" s="22" t="s">
        <v>298</v>
      </c>
      <c r="M6" s="7"/>
      <c r="N6" s="23" t="s">
        <v>299</v>
      </c>
      <c r="O6" s="23" t="s">
        <v>299</v>
      </c>
      <c r="P6" s="7" t="str">
        <f aca="false">Products!F6</f>
        <v>Sep–Oct</v>
      </c>
    </row>
    <row r="7" customFormat="false" ht="15" hidden="false" customHeight="false" outlineLevel="0" collapsed="false">
      <c r="A7" s="7" t="n">
        <v>6</v>
      </c>
      <c r="B7" s="12" t="str">
        <f aca="false">Products!B7</f>
        <v>Printable advent calendar</v>
      </c>
      <c r="C7" s="6" t="str">
        <f aca="false">Products!D7</f>
        <v>Christmas</v>
      </c>
      <c r="D7" s="7"/>
      <c r="E7" s="7"/>
      <c r="F7" s="7"/>
      <c r="G7" s="7"/>
      <c r="H7" s="7"/>
      <c r="I7" s="7"/>
      <c r="J7" s="7"/>
      <c r="K7" s="7"/>
      <c r="L7" s="22" t="s">
        <v>298</v>
      </c>
      <c r="M7" s="7"/>
      <c r="N7" s="23" t="s">
        <v>299</v>
      </c>
      <c r="O7" s="7"/>
      <c r="P7" s="7" t="str">
        <f aca="false">Products!F7</f>
        <v>Sep–Oct</v>
      </c>
    </row>
    <row r="8" customFormat="false" ht="15" hidden="false" customHeight="false" outlineLevel="0" collapsed="false">
      <c r="A8" s="7" t="n">
        <v>7</v>
      </c>
      <c r="B8" s="12" t="str">
        <f aca="false">Products!B8</f>
        <v>Elf on the Shelf printable kit</v>
      </c>
      <c r="C8" s="6" t="str">
        <f aca="false">Products!D8</f>
        <v>Christmas</v>
      </c>
      <c r="D8" s="7"/>
      <c r="E8" s="7"/>
      <c r="F8" s="7"/>
      <c r="G8" s="7"/>
      <c r="H8" s="7"/>
      <c r="I8" s="7"/>
      <c r="J8" s="7"/>
      <c r="K8" s="7"/>
      <c r="L8" s="7"/>
      <c r="M8" s="22" t="s">
        <v>298</v>
      </c>
      <c r="N8" s="23" t="s">
        <v>299</v>
      </c>
      <c r="O8" s="23" t="s">
        <v>299</v>
      </c>
      <c r="P8" s="7" t="str">
        <f aca="false">Products!F8</f>
        <v>Oct</v>
      </c>
    </row>
    <row r="9" customFormat="false" ht="15" hidden="false" customHeight="false" outlineLevel="0" collapsed="false">
      <c r="A9" s="7" t="n">
        <v>8</v>
      </c>
      <c r="B9" s="12" t="str">
        <f aca="false">Products!B9</f>
        <v>Christmas kids worksheets / coloring pages</v>
      </c>
      <c r="C9" s="6" t="str">
        <f aca="false">Products!D9</f>
        <v>Christmas</v>
      </c>
      <c r="D9" s="7"/>
      <c r="E9" s="7"/>
      <c r="F9" s="7"/>
      <c r="G9" s="7"/>
      <c r="H9" s="7"/>
      <c r="I9" s="7"/>
      <c r="J9" s="7"/>
      <c r="K9" s="7"/>
      <c r="L9" s="7"/>
      <c r="M9" s="22" t="s">
        <v>298</v>
      </c>
      <c r="N9" s="7"/>
      <c r="O9" s="23" t="s">
        <v>299</v>
      </c>
      <c r="P9" s="7" t="str">
        <f aca="false">Products!F9</f>
        <v>Oct</v>
      </c>
    </row>
    <row r="10" customFormat="false" ht="23.85" hidden="false" customHeight="false" outlineLevel="0" collapsed="false">
      <c r="A10" s="7" t="n">
        <v>9</v>
      </c>
      <c r="B10" s="12" t="str">
        <f aca="false">Products!B10</f>
        <v>Holiday planner + gift tracker + Christmas budget</v>
      </c>
      <c r="C10" s="6" t="str">
        <f aca="false">Products!D10</f>
        <v>Christmas</v>
      </c>
      <c r="D10" s="7"/>
      <c r="E10" s="7"/>
      <c r="F10" s="7"/>
      <c r="G10" s="7"/>
      <c r="H10" s="7"/>
      <c r="I10" s="7"/>
      <c r="J10" s="7"/>
      <c r="K10" s="7"/>
      <c r="L10" s="22" t="s">
        <v>298</v>
      </c>
      <c r="M10" s="23" t="s">
        <v>299</v>
      </c>
      <c r="N10" s="23" t="s">
        <v>299</v>
      </c>
      <c r="O10" s="23" t="s">
        <v>299</v>
      </c>
      <c r="P10" s="7" t="str">
        <f aca="false">Products!F10</f>
        <v>Sep</v>
      </c>
    </row>
    <row r="11" customFormat="false" ht="23.85" hidden="false" customHeight="false" outlineLevel="0" collapsed="false">
      <c r="A11" s="7" t="n">
        <v>10</v>
      </c>
      <c r="B11" s="12" t="str">
        <f aca="false">Products!B11</f>
        <v>Vintage Grandma's Christmas recipe cards / supper-club invites</v>
      </c>
      <c r="C11" s="6" t="str">
        <f aca="false">Products!D11</f>
        <v>Christmas</v>
      </c>
      <c r="D11" s="7"/>
      <c r="E11" s="7"/>
      <c r="F11" s="7"/>
      <c r="G11" s="7"/>
      <c r="H11" s="7"/>
      <c r="I11" s="7"/>
      <c r="J11" s="7"/>
      <c r="K11" s="7"/>
      <c r="L11" s="22" t="s">
        <v>298</v>
      </c>
      <c r="M11" s="7"/>
      <c r="N11" s="23" t="s">
        <v>299</v>
      </c>
      <c r="O11" s="23" t="s">
        <v>299</v>
      </c>
      <c r="P11" s="7" t="str">
        <f aca="false">Products!F11</f>
        <v>Sep</v>
      </c>
    </row>
    <row r="12" customFormat="false" ht="23.85" hidden="false" customHeight="false" outlineLevel="0" collapsed="false">
      <c r="A12" s="7" t="n">
        <v>11</v>
      </c>
      <c r="B12" s="12" t="str">
        <f aca="false">Products!B12</f>
        <v>Halloween party printables (invite, banner, toppers)</v>
      </c>
      <c r="C12" s="6" t="str">
        <f aca="false">Products!D12</f>
        <v>Halloween</v>
      </c>
      <c r="D12" s="7"/>
      <c r="E12" s="7"/>
      <c r="F12" s="7"/>
      <c r="G12" s="7"/>
      <c r="H12" s="7"/>
      <c r="I12" s="7"/>
      <c r="J12" s="7"/>
      <c r="K12" s="22" t="s">
        <v>298</v>
      </c>
      <c r="L12" s="23" t="s">
        <v>299</v>
      </c>
      <c r="M12" s="23" t="s">
        <v>299</v>
      </c>
      <c r="N12" s="7"/>
      <c r="O12" s="7"/>
      <c r="P12" s="7" t="str">
        <f aca="false">Products!F12</f>
        <v>Mid-Aug</v>
      </c>
    </row>
    <row r="13" customFormat="false" ht="15" hidden="false" customHeight="false" outlineLevel="0" collapsed="false">
      <c r="A13" s="7" t="n">
        <v>12</v>
      </c>
      <c r="B13" s="12" t="str">
        <f aca="false">Products!B13</f>
        <v>Halloween SVG bundle</v>
      </c>
      <c r="C13" s="6" t="str">
        <f aca="false">Products!D13</f>
        <v>Halloween</v>
      </c>
      <c r="D13" s="7"/>
      <c r="E13" s="7"/>
      <c r="F13" s="7"/>
      <c r="G13" s="7"/>
      <c r="H13" s="7"/>
      <c r="I13" s="7"/>
      <c r="J13" s="7"/>
      <c r="K13" s="22" t="s">
        <v>298</v>
      </c>
      <c r="L13" s="23" t="s">
        <v>299</v>
      </c>
      <c r="M13" s="23" t="s">
        <v>299</v>
      </c>
      <c r="N13" s="7"/>
      <c r="O13" s="7"/>
      <c r="P13" s="7" t="str">
        <f aca="false">Products!F13</f>
        <v>Aug</v>
      </c>
    </row>
    <row r="14" customFormat="false" ht="15" hidden="false" customHeight="false" outlineLevel="0" collapsed="false">
      <c r="A14" s="7" t="n">
        <v>13</v>
      </c>
      <c r="B14" s="12" t="str">
        <f aca="false">Products!B14</f>
        <v>Halloween / horror coloring pages</v>
      </c>
      <c r="C14" s="6" t="str">
        <f aca="false">Products!D14</f>
        <v>Halloween</v>
      </c>
      <c r="D14" s="7"/>
      <c r="E14" s="7"/>
      <c r="F14" s="7"/>
      <c r="G14" s="7"/>
      <c r="H14" s="7"/>
      <c r="I14" s="7"/>
      <c r="J14" s="7"/>
      <c r="K14" s="22" t="s">
        <v>298</v>
      </c>
      <c r="L14" s="23" t="s">
        <v>299</v>
      </c>
      <c r="M14" s="23" t="s">
        <v>299</v>
      </c>
      <c r="N14" s="7"/>
      <c r="O14" s="7"/>
      <c r="P14" s="7" t="str">
        <f aca="false">Products!F14</f>
        <v>Aug</v>
      </c>
    </row>
    <row r="15" customFormat="false" ht="15" hidden="false" customHeight="false" outlineLevel="0" collapsed="false">
      <c r="A15" s="7" t="n">
        <v>14</v>
      </c>
      <c r="B15" s="12" t="str">
        <f aca="false">Products!B15</f>
        <v>Fall / autumn wall art printable</v>
      </c>
      <c r="C15" s="6" t="str">
        <f aca="false">Products!D15</f>
        <v>Fall</v>
      </c>
      <c r="D15" s="7"/>
      <c r="E15" s="7"/>
      <c r="F15" s="7"/>
      <c r="G15" s="7"/>
      <c r="H15" s="7"/>
      <c r="I15" s="7"/>
      <c r="J15" s="7"/>
      <c r="K15" s="23" t="s">
        <v>299</v>
      </c>
      <c r="L15" s="23" t="s">
        <v>299</v>
      </c>
      <c r="M15" s="23" t="s">
        <v>299</v>
      </c>
      <c r="N15" s="23" t="s">
        <v>299</v>
      </c>
      <c r="O15" s="7"/>
      <c r="P15" s="7" t="str">
        <f aca="false">Products!F15</f>
        <v>Aug</v>
      </c>
    </row>
    <row r="16" customFormat="false" ht="15" hidden="false" customHeight="false" outlineLevel="0" collapsed="false">
      <c r="A16" s="7" t="n">
        <v>15</v>
      </c>
      <c r="B16" s="12" t="str">
        <f aca="false">Products!B16</f>
        <v>Thanksgiving menu + place card template</v>
      </c>
      <c r="C16" s="6" t="str">
        <f aca="false">Products!D16</f>
        <v>Thanksgiving</v>
      </c>
      <c r="D16" s="7"/>
      <c r="E16" s="7"/>
      <c r="F16" s="7"/>
      <c r="G16" s="7"/>
      <c r="H16" s="7"/>
      <c r="I16" s="7"/>
      <c r="J16" s="7"/>
      <c r="K16" s="7"/>
      <c r="L16" s="7"/>
      <c r="M16" s="22" t="s">
        <v>298</v>
      </c>
      <c r="N16" s="23" t="s">
        <v>299</v>
      </c>
      <c r="O16" s="7"/>
      <c r="P16" s="7" t="str">
        <f aca="false">Products!F16</f>
        <v>Early Oct</v>
      </c>
    </row>
    <row r="17" customFormat="false" ht="15" hidden="false" customHeight="false" outlineLevel="0" collapsed="false">
      <c r="A17" s="7" t="n">
        <v>16</v>
      </c>
      <c r="B17" s="12" t="str">
        <f aca="false">Products!B17</f>
        <v>Gratitude journal printable</v>
      </c>
      <c r="C17" s="6" t="str">
        <f aca="false">Products!D17</f>
        <v>Thanksgiving</v>
      </c>
      <c r="D17" s="7"/>
      <c r="E17" s="7"/>
      <c r="F17" s="7"/>
      <c r="G17" s="7"/>
      <c r="H17" s="7"/>
      <c r="I17" s="7"/>
      <c r="J17" s="7"/>
      <c r="K17" s="7"/>
      <c r="L17" s="7"/>
      <c r="M17" s="23" t="s">
        <v>299</v>
      </c>
      <c r="N17" s="23" t="s">
        <v>299</v>
      </c>
      <c r="O17" s="7"/>
      <c r="P17" s="7" t="str">
        <f aca="false">Products!F17</f>
        <v>Oct</v>
      </c>
    </row>
    <row r="18" customFormat="false" ht="23.85" hidden="false" customHeight="false" outlineLevel="0" collapsed="false">
      <c r="A18" s="7" t="n">
        <v>17</v>
      </c>
      <c r="B18" s="12" t="str">
        <f aca="false">Products!B18</f>
        <v>NYE games bundle (trivia, Would You Rather, bingo)</v>
      </c>
      <c r="C18" s="6" t="str">
        <f aca="false">Products!D18</f>
        <v>New Year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22" t="s">
        <v>298</v>
      </c>
      <c r="O18" s="23" t="s">
        <v>299</v>
      </c>
      <c r="P18" s="7" t="str">
        <f aca="false">Products!F18</f>
        <v>Nov</v>
      </c>
    </row>
    <row r="19" customFormat="false" ht="23.85" hidden="false" customHeight="false" outlineLevel="0" collapsed="false">
      <c r="A19" s="7" t="n">
        <v>18</v>
      </c>
      <c r="B19" s="12" t="str">
        <f aca="false">Products!B19</f>
        <v>2027 dated digital planner (GoodNotes/OneNote)</v>
      </c>
      <c r="C19" s="6" t="str">
        <f aca="false">Products!D19</f>
        <v>New Year</v>
      </c>
      <c r="D19" s="23" t="s">
        <v>299</v>
      </c>
      <c r="E19" s="7"/>
      <c r="F19" s="7"/>
      <c r="G19" s="7"/>
      <c r="H19" s="7"/>
      <c r="I19" s="7"/>
      <c r="J19" s="7"/>
      <c r="K19" s="22" t="s">
        <v>298</v>
      </c>
      <c r="L19" s="7"/>
      <c r="M19" s="7"/>
      <c r="N19" s="7"/>
      <c r="O19" s="23" t="s">
        <v>299</v>
      </c>
      <c r="P19" s="7" t="str">
        <f aca="false">Products!F19</f>
        <v>Aug–Sep</v>
      </c>
    </row>
    <row r="20" customFormat="false" ht="15" hidden="false" customHeight="false" outlineLevel="0" collapsed="false">
      <c r="A20" s="7" t="n">
        <v>19</v>
      </c>
      <c r="B20" s="12" t="str">
        <f aca="false">Products!B20</f>
        <v>Undated / multi-year (2027–2028) planner</v>
      </c>
      <c r="C20" s="6" t="str">
        <f aca="false">Products!D20</f>
        <v>Evergreen</v>
      </c>
      <c r="D20" s="23" t="s">
        <v>299</v>
      </c>
      <c r="E20" s="23" t="s">
        <v>299</v>
      </c>
      <c r="F20" s="23" t="s">
        <v>299</v>
      </c>
      <c r="G20" s="7"/>
      <c r="H20" s="7"/>
      <c r="I20" s="7"/>
      <c r="J20" s="7"/>
      <c r="K20" s="23" t="s">
        <v>299</v>
      </c>
      <c r="L20" s="23" t="s">
        <v>299</v>
      </c>
      <c r="M20" s="7"/>
      <c r="N20" s="7"/>
      <c r="O20" s="7"/>
      <c r="P20" s="7" t="str">
        <f aca="false">Products!F20</f>
        <v>Aug</v>
      </c>
    </row>
    <row r="21" customFormat="false" ht="15" hidden="false" customHeight="false" outlineLevel="0" collapsed="false">
      <c r="A21" s="7" t="n">
        <v>20</v>
      </c>
      <c r="B21" s="12" t="str">
        <f aca="false">Products!B21</f>
        <v>Goal-setting / vision planner template</v>
      </c>
      <c r="C21" s="6" t="str">
        <f aca="false">Products!D21</f>
        <v>New Year</v>
      </c>
      <c r="D21" s="23" t="s">
        <v>299</v>
      </c>
      <c r="E21" s="7"/>
      <c r="F21" s="7"/>
      <c r="G21" s="7"/>
      <c r="H21" s="7"/>
      <c r="I21" s="7"/>
      <c r="J21" s="7"/>
      <c r="K21" s="7"/>
      <c r="L21" s="7"/>
      <c r="M21" s="7"/>
      <c r="N21" s="22" t="s">
        <v>298</v>
      </c>
      <c r="O21" s="23" t="s">
        <v>299</v>
      </c>
      <c r="P21" s="7" t="str">
        <f aca="false">Products!F21</f>
        <v>Nov</v>
      </c>
    </row>
    <row r="22" customFormat="false" ht="23.85" hidden="false" customHeight="false" outlineLevel="0" collapsed="false">
      <c r="A22" s="7" t="n">
        <v>21</v>
      </c>
      <c r="B22" s="12" t="str">
        <f aca="false">Products!B22</f>
        <v>Monthly budget spreadsheet (Google Sheets/Excel)</v>
      </c>
      <c r="C22" s="6" t="str">
        <f aca="false">Products!D22</f>
        <v>Evergreen</v>
      </c>
      <c r="D22" s="23" t="s">
        <v>299</v>
      </c>
      <c r="E22" s="7"/>
      <c r="F22" s="7"/>
      <c r="G22" s="7"/>
      <c r="H22" s="7"/>
      <c r="I22" s="7"/>
      <c r="J22" s="7"/>
      <c r="K22" s="7"/>
      <c r="L22" s="7"/>
      <c r="M22" s="7"/>
      <c r="N22" s="22" t="s">
        <v>298</v>
      </c>
      <c r="O22" s="7"/>
      <c r="P22" s="7" t="str">
        <f aca="false">Products!F22</f>
        <v>Nov–Dec</v>
      </c>
    </row>
    <row r="23" customFormat="false" ht="15" hidden="false" customHeight="false" outlineLevel="0" collapsed="false">
      <c r="A23" s="7" t="n">
        <v>22</v>
      </c>
      <c r="B23" s="12" t="str">
        <f aca="false">Products!B23</f>
        <v>Resume / CV template (Canva, Word, Docs)</v>
      </c>
      <c r="C23" s="6" t="str">
        <f aca="false">Products!D23</f>
        <v>Evergreen</v>
      </c>
      <c r="D23" s="23" t="s">
        <v>299</v>
      </c>
      <c r="E23" s="7"/>
      <c r="F23" s="7"/>
      <c r="G23" s="7"/>
      <c r="H23" s="23" t="s">
        <v>299</v>
      </c>
      <c r="I23" s="23" t="s">
        <v>299</v>
      </c>
      <c r="J23" s="7"/>
      <c r="K23" s="7"/>
      <c r="L23" s="7"/>
      <c r="M23" s="7"/>
      <c r="N23" s="7"/>
      <c r="O23" s="22" t="s">
        <v>298</v>
      </c>
      <c r="P23" s="7" t="str">
        <f aca="false">Products!F23</f>
        <v>Dec aur Apr</v>
      </c>
    </row>
    <row r="24" customFormat="false" ht="23.85" hidden="false" customHeight="false" outlineLevel="0" collapsed="false">
      <c r="A24" s="7" t="n">
        <v>23</v>
      </c>
      <c r="B24" s="12" t="str">
        <f aca="false">Products!B24</f>
        <v>Classroom Valentine exchange cards (meme/gamer)</v>
      </c>
      <c r="C24" s="6" t="str">
        <f aca="false">Products!D24</f>
        <v>Valentine's</v>
      </c>
      <c r="D24" s="23" t="s">
        <v>299</v>
      </c>
      <c r="E24" s="23" t="s">
        <v>299</v>
      </c>
      <c r="F24" s="7"/>
      <c r="G24" s="7"/>
      <c r="H24" s="7"/>
      <c r="I24" s="7"/>
      <c r="J24" s="7"/>
      <c r="K24" s="7"/>
      <c r="L24" s="7"/>
      <c r="M24" s="7"/>
      <c r="N24" s="7"/>
      <c r="O24" s="22" t="s">
        <v>298</v>
      </c>
      <c r="P24" s="7" t="str">
        <f aca="false">Products!F24</f>
        <v>Dec</v>
      </c>
    </row>
    <row r="25" customFormat="false" ht="23.85" hidden="false" customHeight="false" outlineLevel="0" collapsed="false">
      <c r="A25" s="7" t="n">
        <v>24</v>
      </c>
      <c r="B25" s="12" t="str">
        <f aca="false">Products!B25</f>
        <v>Couples printables (love coupons, date-night cards)</v>
      </c>
      <c r="C25" s="6" t="str">
        <f aca="false">Products!D25</f>
        <v>Valentine's</v>
      </c>
      <c r="D25" s="23" t="s">
        <v>299</v>
      </c>
      <c r="E25" s="23" t="s">
        <v>299</v>
      </c>
      <c r="F25" s="7"/>
      <c r="G25" s="7"/>
      <c r="H25" s="7"/>
      <c r="I25" s="7"/>
      <c r="J25" s="7"/>
      <c r="K25" s="7"/>
      <c r="L25" s="7"/>
      <c r="M25" s="7"/>
      <c r="N25" s="7"/>
      <c r="O25" s="22" t="s">
        <v>298</v>
      </c>
      <c r="P25" s="7" t="str">
        <f aca="false">Products!F25</f>
        <v>Dec</v>
      </c>
    </row>
    <row r="26" customFormat="false" ht="15" hidden="false" customHeight="false" outlineLevel="0" collapsed="false">
      <c r="A26" s="7" t="n">
        <v>25</v>
      </c>
      <c r="B26" s="12" t="str">
        <f aca="false">Products!B26</f>
        <v>Galentine's party games / cards</v>
      </c>
      <c r="C26" s="6" t="str">
        <f aca="false">Products!D26</f>
        <v>Valentine's</v>
      </c>
      <c r="D26" s="23" t="s">
        <v>299</v>
      </c>
      <c r="E26" s="23" t="s">
        <v>299</v>
      </c>
      <c r="F26" s="7"/>
      <c r="G26" s="7"/>
      <c r="H26" s="7"/>
      <c r="I26" s="7"/>
      <c r="J26" s="7"/>
      <c r="K26" s="7"/>
      <c r="L26" s="7"/>
      <c r="M26" s="7"/>
      <c r="N26" s="22" t="s">
        <v>298</v>
      </c>
      <c r="O26" s="7"/>
      <c r="P26" s="7" t="str">
        <f aca="false">Products!F26</f>
        <v>Nov–Dec</v>
      </c>
    </row>
    <row r="27" customFormat="false" ht="23.85" hidden="false" customHeight="false" outlineLevel="0" collapsed="false">
      <c r="A27" s="7" t="n">
        <v>26</v>
      </c>
      <c r="B27" s="12" t="str">
        <f aca="false">Products!B27</f>
        <v>Ramadan countdown calendar / kids activity pack</v>
      </c>
      <c r="C27" s="6" t="str">
        <f aca="false">Products!D27</f>
        <v>Ramadan/Eid</v>
      </c>
      <c r="D27" s="23" t="s">
        <v>299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23" t="s">
        <v>299</v>
      </c>
      <c r="P27" s="7" t="str">
        <f aca="false">Products!F27</f>
        <v>Dec</v>
      </c>
    </row>
    <row r="28" customFormat="false" ht="15" hidden="false" customHeight="false" outlineLevel="0" collapsed="false">
      <c r="A28" s="7" t="n">
        <v>27</v>
      </c>
      <c r="B28" s="12" t="str">
        <f aca="false">Products!B28</f>
        <v>Eid gift tags / coloring cards</v>
      </c>
      <c r="C28" s="6" t="str">
        <f aca="false">Products!D28</f>
        <v>Ramadan/Eid</v>
      </c>
      <c r="D28" s="22" t="s">
        <v>298</v>
      </c>
      <c r="E28" s="23" t="s">
        <v>299</v>
      </c>
      <c r="F28" s="23" t="s">
        <v>299</v>
      </c>
      <c r="G28" s="7"/>
      <c r="H28" s="7"/>
      <c r="I28" s="7"/>
      <c r="J28" s="7"/>
      <c r="K28" s="7"/>
      <c r="L28" s="7"/>
      <c r="M28" s="7"/>
      <c r="N28" s="7"/>
      <c r="O28" s="7"/>
      <c r="P28" s="7" t="str">
        <f aca="false">Products!F28</f>
        <v>Jan</v>
      </c>
    </row>
    <row r="29" customFormat="false" ht="15" hidden="false" customHeight="false" outlineLevel="0" collapsed="false">
      <c r="A29" s="7" t="n">
        <v>28</v>
      </c>
      <c r="B29" s="12" t="str">
        <f aca="false">Products!B29</f>
        <v>Easter coloring pages + egg-hunt pack</v>
      </c>
      <c r="C29" s="6" t="str">
        <f aca="false">Products!D29</f>
        <v>Easter</v>
      </c>
      <c r="D29" s="22" t="s">
        <v>298</v>
      </c>
      <c r="E29" s="7"/>
      <c r="F29" s="23" t="s">
        <v>299</v>
      </c>
      <c r="G29" s="23" t="s">
        <v>299</v>
      </c>
      <c r="H29" s="7"/>
      <c r="I29" s="7"/>
      <c r="J29" s="7"/>
      <c r="K29" s="7"/>
      <c r="L29" s="7"/>
      <c r="M29" s="7"/>
      <c r="N29" s="7"/>
      <c r="O29" s="7"/>
      <c r="P29" s="7" t="str">
        <f aca="false">Products!F29</f>
        <v>Jan</v>
      </c>
    </row>
    <row r="30" customFormat="false" ht="23.85" hidden="false" customHeight="false" outlineLevel="0" collapsed="false">
      <c r="A30" s="7" t="n">
        <v>29</v>
      </c>
      <c r="B30" s="12" t="str">
        <f aca="false">Products!B30</f>
        <v>Mother's Day printable card / coupon book / certificate</v>
      </c>
      <c r="C30" s="6" t="str">
        <f aca="false">Products!D30</f>
        <v>Mother's Day</v>
      </c>
      <c r="D30" s="7"/>
      <c r="E30" s="7"/>
      <c r="F30" s="22" t="s">
        <v>298</v>
      </c>
      <c r="G30" s="23" t="s">
        <v>299</v>
      </c>
      <c r="H30" s="23" t="s">
        <v>299</v>
      </c>
      <c r="I30" s="7"/>
      <c r="J30" s="7"/>
      <c r="K30" s="7"/>
      <c r="L30" s="7"/>
      <c r="M30" s="7"/>
      <c r="N30" s="7"/>
      <c r="O30" s="7"/>
      <c r="P30" s="7" t="str">
        <f aca="false">Products!F30</f>
        <v>Mar</v>
      </c>
    </row>
    <row r="31" customFormat="false" ht="15" hidden="false" customHeight="false" outlineLevel="0" collapsed="false">
      <c r="A31" s="7" t="n">
        <v>30</v>
      </c>
      <c r="B31" s="12" t="str">
        <f aca="false">Products!B31</f>
        <v>Father's Day printable card / certificate</v>
      </c>
      <c r="C31" s="6" t="str">
        <f aca="false">Products!D31</f>
        <v>Father's Day</v>
      </c>
      <c r="D31" s="7"/>
      <c r="E31" s="7"/>
      <c r="F31" s="7"/>
      <c r="G31" s="22" t="s">
        <v>298</v>
      </c>
      <c r="H31" s="23" t="s">
        <v>299</v>
      </c>
      <c r="I31" s="23" t="s">
        <v>299</v>
      </c>
      <c r="J31" s="7"/>
      <c r="K31" s="7"/>
      <c r="L31" s="7"/>
      <c r="M31" s="7"/>
      <c r="N31" s="7"/>
      <c r="O31" s="7"/>
      <c r="P31" s="7" t="str">
        <f aca="false">Products!F31</f>
        <v>Apr</v>
      </c>
    </row>
    <row r="32" customFormat="false" ht="15" hidden="false" customHeight="false" outlineLevel="0" collapsed="false">
      <c r="A32" s="7" t="n">
        <v>31</v>
      </c>
      <c r="B32" s="12" t="str">
        <f aca="false">Products!B32</f>
        <v>Graduation printables (party signs, cards)</v>
      </c>
      <c r="C32" s="6" t="str">
        <f aca="false">Products!D32</f>
        <v>Graduation</v>
      </c>
      <c r="D32" s="7"/>
      <c r="E32" s="7"/>
      <c r="F32" s="22" t="s">
        <v>298</v>
      </c>
      <c r="G32" s="7"/>
      <c r="H32" s="23" t="s">
        <v>299</v>
      </c>
      <c r="I32" s="23" t="s">
        <v>299</v>
      </c>
      <c r="J32" s="7"/>
      <c r="K32" s="7"/>
      <c r="L32" s="7"/>
      <c r="M32" s="7"/>
      <c r="N32" s="7"/>
      <c r="O32" s="7"/>
      <c r="P32" s="7" t="str">
        <f aca="false">Products!F32</f>
        <v>Mar–Apr</v>
      </c>
    </row>
    <row r="33" customFormat="false" ht="15" hidden="false" customHeight="false" outlineLevel="0" collapsed="false">
      <c r="A33" s="7" t="n">
        <v>32</v>
      </c>
      <c r="B33" s="12" t="str">
        <f aca="false">Products!B33</f>
        <v>Bridal shower game bundle (editable)</v>
      </c>
      <c r="C33" s="6" t="str">
        <f aca="false">Products!D33</f>
        <v>Evergreen</v>
      </c>
      <c r="D33" s="7"/>
      <c r="E33" s="7"/>
      <c r="F33" s="7"/>
      <c r="G33" s="7"/>
      <c r="H33" s="23" t="s">
        <v>299</v>
      </c>
      <c r="I33" s="23" t="s">
        <v>299</v>
      </c>
      <c r="J33" s="23" t="s">
        <v>299</v>
      </c>
      <c r="K33" s="23" t="s">
        <v>299</v>
      </c>
      <c r="L33" s="7"/>
      <c r="M33" s="7"/>
      <c r="N33" s="7"/>
      <c r="O33" s="7"/>
      <c r="P33" s="7" t="str">
        <f aca="false">Products!F33</f>
        <v>Kabhi bhi</v>
      </c>
    </row>
    <row r="34" customFormat="false" ht="15" hidden="false" customHeight="false" outlineLevel="0" collapsed="false">
      <c r="A34" s="7" t="n">
        <v>33</v>
      </c>
      <c r="B34" s="12" t="str">
        <f aca="false">Products!B34</f>
        <v>Baby shower game templates</v>
      </c>
      <c r="C34" s="6" t="str">
        <f aca="false">Products!D34</f>
        <v>Evergreen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tr">
        <f aca="false">Products!F34</f>
        <v>Kabhi bhi</v>
      </c>
    </row>
    <row r="35" customFormat="false" ht="15" hidden="false" customHeight="false" outlineLevel="0" collapsed="false">
      <c r="A35" s="7" t="n">
        <v>34</v>
      </c>
      <c r="B35" s="12" t="str">
        <f aca="false">Products!B35</f>
        <v>Wedding invitation / sign templates</v>
      </c>
      <c r="C35" s="6" t="str">
        <f aca="false">Products!D35</f>
        <v>Wedding</v>
      </c>
      <c r="D35" s="22" t="s">
        <v>298</v>
      </c>
      <c r="E35" s="7"/>
      <c r="F35" s="23" t="s">
        <v>299</v>
      </c>
      <c r="G35" s="23" t="s">
        <v>299</v>
      </c>
      <c r="H35" s="23" t="s">
        <v>299</v>
      </c>
      <c r="I35" s="23" t="s">
        <v>299</v>
      </c>
      <c r="J35" s="23" t="s">
        <v>299</v>
      </c>
      <c r="K35" s="23" t="s">
        <v>299</v>
      </c>
      <c r="L35" s="7"/>
      <c r="M35" s="7"/>
      <c r="N35" s="7"/>
      <c r="O35" s="7"/>
      <c r="P35" s="7" t="str">
        <f aca="false">Products!F35</f>
        <v>Jan–Mar</v>
      </c>
    </row>
    <row r="36" customFormat="false" ht="15" hidden="false" customHeight="false" outlineLevel="0" collapsed="false">
      <c r="A36" s="7" t="n">
        <v>35</v>
      </c>
      <c r="B36" s="12" t="str">
        <f aca="false">Products!B36</f>
        <v>Printable teacher planner</v>
      </c>
      <c r="C36" s="6" t="str">
        <f aca="false">Products!D36</f>
        <v>Back to School</v>
      </c>
      <c r="D36" s="7"/>
      <c r="E36" s="7"/>
      <c r="F36" s="7"/>
      <c r="G36" s="7"/>
      <c r="H36" s="22" t="s">
        <v>298</v>
      </c>
      <c r="I36" s="7"/>
      <c r="J36" s="23" t="s">
        <v>299</v>
      </c>
      <c r="K36" s="23" t="s">
        <v>299</v>
      </c>
      <c r="L36" s="7"/>
      <c r="M36" s="7"/>
      <c r="N36" s="7"/>
      <c r="O36" s="7"/>
      <c r="P36" s="7" t="str">
        <f aca="false">Products!F36</f>
        <v>May–Jun</v>
      </c>
    </row>
    <row r="37" customFormat="false" ht="15" hidden="false" customHeight="false" outlineLevel="0" collapsed="false">
      <c r="A37" s="7" t="n">
        <v>36</v>
      </c>
      <c r="B37" s="12" t="str">
        <f aca="false">Products!B37</f>
        <v>Meet the Teacher / Teacher Favorite Things</v>
      </c>
      <c r="C37" s="6" t="str">
        <f aca="false">Products!D37</f>
        <v>Back to School</v>
      </c>
      <c r="D37" s="7"/>
      <c r="E37" s="7"/>
      <c r="F37" s="7"/>
      <c r="G37" s="7"/>
      <c r="H37" s="22" t="s">
        <v>298</v>
      </c>
      <c r="I37" s="7"/>
      <c r="J37" s="23" t="s">
        <v>299</v>
      </c>
      <c r="K37" s="23" t="s">
        <v>299</v>
      </c>
      <c r="L37" s="23" t="s">
        <v>299</v>
      </c>
      <c r="M37" s="7"/>
      <c r="N37" s="7"/>
      <c r="O37" s="7"/>
      <c r="P37" s="7" t="str">
        <f aca="false">Products!F37</f>
        <v>May–Jun</v>
      </c>
    </row>
    <row r="38" customFormat="false" ht="15" hidden="false" customHeight="false" outlineLevel="0" collapsed="false">
      <c r="A38" s="7" t="n">
        <v>37</v>
      </c>
      <c r="B38" s="12" t="str">
        <f aca="false">Products!B38</f>
        <v>Classroom decor / bulletin board kit</v>
      </c>
      <c r="C38" s="6" t="str">
        <f aca="false">Products!D38</f>
        <v>Back to School</v>
      </c>
      <c r="D38" s="7"/>
      <c r="E38" s="7"/>
      <c r="F38" s="7"/>
      <c r="G38" s="7"/>
      <c r="H38" s="22" t="s">
        <v>298</v>
      </c>
      <c r="I38" s="7"/>
      <c r="J38" s="23" t="s">
        <v>299</v>
      </c>
      <c r="K38" s="23" t="s">
        <v>299</v>
      </c>
      <c r="L38" s="7"/>
      <c r="M38" s="7"/>
      <c r="N38" s="7"/>
      <c r="O38" s="7"/>
      <c r="P38" s="7" t="str">
        <f aca="false">Products!F38</f>
        <v>May–Jun</v>
      </c>
    </row>
    <row r="39" customFormat="false" ht="15" hidden="false" customHeight="false" outlineLevel="0" collapsed="false">
      <c r="A39" s="7" t="n">
        <v>38</v>
      </c>
      <c r="B39" s="12" t="str">
        <f aca="false">Products!B39</f>
        <v>Editable school-year calendar 2027–28</v>
      </c>
      <c r="C39" s="6" t="str">
        <f aca="false">Products!D39</f>
        <v>Back to School</v>
      </c>
      <c r="D39" s="7"/>
      <c r="E39" s="7"/>
      <c r="F39" s="7"/>
      <c r="G39" s="7"/>
      <c r="H39" s="22" t="s">
        <v>298</v>
      </c>
      <c r="I39" s="7"/>
      <c r="J39" s="23" t="s">
        <v>299</v>
      </c>
      <c r="K39" s="23" t="s">
        <v>299</v>
      </c>
      <c r="L39" s="7"/>
      <c r="M39" s="7"/>
      <c r="N39" s="7"/>
      <c r="O39" s="7"/>
      <c r="P39" s="7" t="str">
        <f aca="false">Products!F39</f>
        <v>May</v>
      </c>
    </row>
    <row r="40" customFormat="false" ht="15" hidden="false" customHeight="false" outlineLevel="0" collapsed="false">
      <c r="A40" s="7" t="n">
        <v>39</v>
      </c>
      <c r="B40" s="12" t="str">
        <f aca="false">Products!B40</f>
        <v>Thank-you card templates</v>
      </c>
      <c r="C40" s="6" t="str">
        <f aca="false">Products!D40</f>
        <v>Evergreen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 t="str">
        <f aca="false">Products!F40</f>
        <v>Kabhi bhi</v>
      </c>
    </row>
    <row r="41" customFormat="false" ht="23.85" hidden="false" customHeight="false" outlineLevel="0" collapsed="false">
      <c r="A41" s="7" t="n">
        <v>40</v>
      </c>
      <c r="B41" s="12" t="str">
        <f aca="false">Products!B41</f>
        <v>OneNote work / project management planner</v>
      </c>
      <c r="C41" s="6" t="str">
        <f aca="false">Products!D41</f>
        <v>Evergreen</v>
      </c>
      <c r="D41" s="23" t="s">
        <v>299</v>
      </c>
      <c r="E41" s="7"/>
      <c r="F41" s="7"/>
      <c r="G41" s="7"/>
      <c r="H41" s="7"/>
      <c r="I41" s="7"/>
      <c r="J41" s="7"/>
      <c r="K41" s="23" t="s">
        <v>299</v>
      </c>
      <c r="L41" s="23" t="s">
        <v>299</v>
      </c>
      <c r="M41" s="7"/>
      <c r="N41" s="7"/>
      <c r="O41" s="7"/>
      <c r="P41" s="7" t="str">
        <f aca="false">Products!F41</f>
        <v>Aug–Sep, phir har waqt</v>
      </c>
    </row>
    <row r="42" customFormat="false" ht="15" hidden="false" customHeight="false" outlineLevel="0" collapsed="false">
      <c r="B42" s="12" t="s">
        <v>300</v>
      </c>
      <c r="D42" s="13" t="n">
        <f aca="false">COUNTIF(D2:D41,"●")</f>
        <v>10</v>
      </c>
      <c r="E42" s="13" t="n">
        <f aca="false">COUNTIF(E2:E41,"●")</f>
        <v>5</v>
      </c>
      <c r="F42" s="13" t="n">
        <f aca="false">COUNTIF(F2:F41,"●")</f>
        <v>4</v>
      </c>
      <c r="G42" s="13" t="n">
        <f aca="false">COUNTIF(G2:G41,"●")</f>
        <v>3</v>
      </c>
      <c r="H42" s="13" t="n">
        <f aca="false">COUNTIF(H2:H41,"●")</f>
        <v>6</v>
      </c>
      <c r="I42" s="13" t="n">
        <f aca="false">COUNTIF(I2:I41,"●")</f>
        <v>5</v>
      </c>
      <c r="J42" s="13" t="n">
        <f aca="false">COUNTIF(J2:J41,"●")</f>
        <v>6</v>
      </c>
      <c r="K42" s="13" t="n">
        <f aca="false">COUNTIF(K2:K41,"●")</f>
        <v>9</v>
      </c>
      <c r="L42" s="13" t="n">
        <f aca="false">COUNTIF(L2:L41,"●")</f>
        <v>8</v>
      </c>
      <c r="M42" s="13" t="n">
        <f aca="false">COUNTIF(M2:M41,"●")</f>
        <v>8</v>
      </c>
      <c r="N42" s="13" t="n">
        <f aca="false">COUNTIF(N2:N41,"●")</f>
        <v>11</v>
      </c>
      <c r="O42" s="13" t="n">
        <f aca="false">COUNTIF(O2:O41,"●")</f>
        <v>12</v>
      </c>
    </row>
    <row r="43" customFormat="false" ht="15" hidden="false" customHeight="false" outlineLevel="0" collapsed="false">
      <c r="B43" s="12" t="s">
        <v>301</v>
      </c>
      <c r="D43" s="13" t="n">
        <f aca="false">COUNTIF(D2:D41,"L")</f>
        <v>3</v>
      </c>
      <c r="E43" s="13" t="n">
        <f aca="false">COUNTIF(E2:E41,"L")</f>
        <v>0</v>
      </c>
      <c r="F43" s="13" t="n">
        <f aca="false">COUNTIF(F2:F41,"L")</f>
        <v>2</v>
      </c>
      <c r="G43" s="13" t="n">
        <f aca="false">COUNTIF(G2:G41,"L")</f>
        <v>1</v>
      </c>
      <c r="H43" s="13" t="n">
        <f aca="false">COUNTIF(H2:H41,"L")</f>
        <v>4</v>
      </c>
      <c r="I43" s="13" t="n">
        <f aca="false">COUNTIF(I2:I41,"L")</f>
        <v>0</v>
      </c>
      <c r="J43" s="13" t="n">
        <f aca="false">COUNTIF(J2:J41,"L")</f>
        <v>0</v>
      </c>
      <c r="K43" s="13" t="n">
        <f aca="false">COUNTIF(K2:K41,"L")</f>
        <v>6</v>
      </c>
      <c r="L43" s="13" t="n">
        <f aca="false">COUNTIF(L2:L41,"L")</f>
        <v>6</v>
      </c>
      <c r="M43" s="13" t="n">
        <f aca="false">COUNTIF(M2:M41,"L")</f>
        <v>3</v>
      </c>
      <c r="N43" s="13" t="n">
        <f aca="false">COUNTIF(N2:N41,"L")</f>
        <v>4</v>
      </c>
      <c r="O43" s="13" t="n">
        <f aca="false">COUNTIF(O2:O41,"L")</f>
        <v>3</v>
      </c>
    </row>
    <row r="45" customFormat="false" ht="15" hidden="false" customHeight="false" outlineLevel="0" collapsed="false">
      <c r="B45" s="24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55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5" t="s">
        <v>54</v>
      </c>
      <c r="B1" s="5" t="s">
        <v>303</v>
      </c>
      <c r="C1" s="5" t="s">
        <v>304</v>
      </c>
      <c r="D1" s="5" t="s">
        <v>305</v>
      </c>
      <c r="E1" s="5" t="s">
        <v>306</v>
      </c>
    </row>
    <row r="2" customFormat="false" ht="23.85" hidden="false" customHeight="false" outlineLevel="0" collapsed="false">
      <c r="A2" s="13" t="s">
        <v>57</v>
      </c>
      <c r="B2" s="6" t="s">
        <v>307</v>
      </c>
      <c r="C2" s="6" t="s">
        <v>308</v>
      </c>
      <c r="D2" s="18" t="s">
        <v>30</v>
      </c>
      <c r="E2" s="6"/>
    </row>
    <row r="3" customFormat="false" ht="23.85" hidden="false" customHeight="false" outlineLevel="0" collapsed="false">
      <c r="A3" s="13" t="s">
        <v>59</v>
      </c>
      <c r="B3" s="6" t="s">
        <v>309</v>
      </c>
      <c r="C3" s="6" t="s">
        <v>310</v>
      </c>
      <c r="D3" s="25" t="s">
        <v>28</v>
      </c>
      <c r="E3" s="6" t="s">
        <v>311</v>
      </c>
    </row>
    <row r="4" customFormat="false" ht="23.85" hidden="false" customHeight="false" outlineLevel="0" collapsed="false">
      <c r="A4" s="13" t="s">
        <v>61</v>
      </c>
      <c r="B4" s="6" t="s">
        <v>312</v>
      </c>
      <c r="C4" s="6" t="s">
        <v>313</v>
      </c>
      <c r="D4" s="18" t="s">
        <v>30</v>
      </c>
      <c r="E4" s="6" t="s">
        <v>314</v>
      </c>
    </row>
    <row r="5" customFormat="false" ht="15" hidden="false" customHeight="false" outlineLevel="0" collapsed="false">
      <c r="A5" s="13" t="s">
        <v>62</v>
      </c>
      <c r="B5" s="6" t="s">
        <v>315</v>
      </c>
      <c r="C5" s="6" t="s">
        <v>316</v>
      </c>
      <c r="D5" s="18" t="s">
        <v>30</v>
      </c>
      <c r="E5" s="6"/>
    </row>
    <row r="6" customFormat="false" ht="23.85" hidden="false" customHeight="false" outlineLevel="0" collapsed="false">
      <c r="A6" s="13" t="s">
        <v>63</v>
      </c>
      <c r="B6" s="6" t="s">
        <v>317</v>
      </c>
      <c r="C6" s="6" t="s">
        <v>318</v>
      </c>
      <c r="D6" s="18" t="s">
        <v>30</v>
      </c>
      <c r="E6" s="6" t="s">
        <v>319</v>
      </c>
    </row>
    <row r="7" customFormat="false" ht="15" hidden="false" customHeight="false" outlineLevel="0" collapsed="false">
      <c r="A7" s="13" t="s">
        <v>64</v>
      </c>
      <c r="B7" s="6" t="s">
        <v>320</v>
      </c>
      <c r="C7" s="6" t="s">
        <v>321</v>
      </c>
      <c r="D7" s="26" t="s">
        <v>32</v>
      </c>
      <c r="E7" s="6" t="s">
        <v>322</v>
      </c>
    </row>
    <row r="8" customFormat="false" ht="15" hidden="false" customHeight="false" outlineLevel="0" collapsed="false">
      <c r="A8" s="13" t="s">
        <v>65</v>
      </c>
      <c r="B8" s="6" t="s">
        <v>323</v>
      </c>
      <c r="C8" s="6" t="s">
        <v>324</v>
      </c>
      <c r="D8" s="26" t="s">
        <v>32</v>
      </c>
      <c r="E8" s="6"/>
    </row>
    <row r="9" customFormat="false" ht="23.85" hidden="false" customHeight="false" outlineLevel="0" collapsed="false">
      <c r="A9" s="13" t="s">
        <v>66</v>
      </c>
      <c r="B9" s="6" t="s">
        <v>325</v>
      </c>
      <c r="C9" s="6" t="s">
        <v>326</v>
      </c>
      <c r="D9" s="25" t="s">
        <v>28</v>
      </c>
      <c r="E9" s="6"/>
    </row>
    <row r="10" customFormat="false" ht="23.85" hidden="false" customHeight="false" outlineLevel="0" collapsed="false">
      <c r="A10" s="13" t="s">
        <v>67</v>
      </c>
      <c r="B10" s="6" t="s">
        <v>327</v>
      </c>
      <c r="C10" s="6" t="s">
        <v>328</v>
      </c>
      <c r="D10" s="25" t="s">
        <v>28</v>
      </c>
      <c r="E10" s="6"/>
    </row>
    <row r="11" customFormat="false" ht="23.85" hidden="false" customHeight="false" outlineLevel="0" collapsed="false">
      <c r="A11" s="13" t="s">
        <v>68</v>
      </c>
      <c r="B11" s="6" t="s">
        <v>329</v>
      </c>
      <c r="C11" s="6" t="s">
        <v>330</v>
      </c>
      <c r="D11" s="27" t="s">
        <v>26</v>
      </c>
      <c r="E11" s="6" t="s">
        <v>331</v>
      </c>
    </row>
    <row r="12" customFormat="false" ht="23.85" hidden="false" customHeight="false" outlineLevel="0" collapsed="false">
      <c r="A12" s="13" t="s">
        <v>69</v>
      </c>
      <c r="B12" s="6" t="s">
        <v>332</v>
      </c>
      <c r="C12" s="6" t="s">
        <v>333</v>
      </c>
      <c r="D12" s="27" t="s">
        <v>26</v>
      </c>
      <c r="E12" s="6" t="s">
        <v>334</v>
      </c>
    </row>
    <row r="13" customFormat="false" ht="23.85" hidden="false" customHeight="false" outlineLevel="0" collapsed="false">
      <c r="A13" s="13" t="s">
        <v>70</v>
      </c>
      <c r="B13" s="6" t="s">
        <v>335</v>
      </c>
      <c r="C13" s="6" t="s">
        <v>336</v>
      </c>
      <c r="D13" s="27" t="s">
        <v>26</v>
      </c>
      <c r="E13" s="6" t="s">
        <v>337</v>
      </c>
    </row>
    <row r="15" customFormat="false" ht="15" hidden="false" customHeight="false" outlineLevel="0" collapsed="false">
      <c r="A15" s="24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5" t="s">
        <v>339</v>
      </c>
      <c r="B1" s="5" t="s">
        <v>340</v>
      </c>
      <c r="C1" s="5" t="s">
        <v>52</v>
      </c>
      <c r="D1" s="5" t="s">
        <v>341</v>
      </c>
      <c r="E1" s="5" t="s">
        <v>342</v>
      </c>
      <c r="F1" s="5" t="s">
        <v>78</v>
      </c>
      <c r="G1" s="5" t="s">
        <v>343</v>
      </c>
    </row>
    <row r="2" customFormat="false" ht="15" hidden="false" customHeight="false" outlineLevel="0" collapsed="false">
      <c r="A2" s="12" t="s">
        <v>344</v>
      </c>
      <c r="B2" s="6" t="s">
        <v>345</v>
      </c>
      <c r="C2" s="6" t="s">
        <v>346</v>
      </c>
      <c r="D2" s="7" t="s">
        <v>347</v>
      </c>
      <c r="E2" s="7" t="s">
        <v>348</v>
      </c>
      <c r="F2" s="6" t="s">
        <v>349</v>
      </c>
      <c r="G2" s="15" t="s">
        <v>350</v>
      </c>
    </row>
    <row r="3" customFormat="false" ht="15" hidden="false" customHeight="false" outlineLevel="0" collapsed="false">
      <c r="A3" s="12" t="s">
        <v>344</v>
      </c>
      <c r="B3" s="6" t="s">
        <v>351</v>
      </c>
      <c r="C3" s="6" t="s">
        <v>352</v>
      </c>
      <c r="D3" s="7" t="s">
        <v>353</v>
      </c>
      <c r="E3" s="7" t="s">
        <v>348</v>
      </c>
      <c r="F3" s="6" t="s">
        <v>354</v>
      </c>
      <c r="G3" s="15" t="s">
        <v>355</v>
      </c>
    </row>
    <row r="4" customFormat="false" ht="15" hidden="false" customHeight="false" outlineLevel="0" collapsed="false">
      <c r="A4" s="12" t="s">
        <v>344</v>
      </c>
      <c r="B4" s="6" t="s">
        <v>356</v>
      </c>
      <c r="C4" s="6" t="s">
        <v>357</v>
      </c>
      <c r="D4" s="7" t="s">
        <v>358</v>
      </c>
      <c r="E4" s="7" t="s">
        <v>348</v>
      </c>
      <c r="F4" s="6" t="s">
        <v>359</v>
      </c>
      <c r="G4" s="15" t="s">
        <v>360</v>
      </c>
    </row>
    <row r="5" customFormat="false" ht="15" hidden="false" customHeight="false" outlineLevel="0" collapsed="false">
      <c r="A5" s="12" t="s">
        <v>361</v>
      </c>
      <c r="B5" s="6" t="s">
        <v>362</v>
      </c>
      <c r="C5" s="6" t="s">
        <v>363</v>
      </c>
      <c r="D5" s="7" t="s">
        <v>364</v>
      </c>
      <c r="E5" s="7" t="s">
        <v>348</v>
      </c>
      <c r="F5" s="6" t="s">
        <v>90</v>
      </c>
      <c r="G5" s="15" t="s">
        <v>91</v>
      </c>
    </row>
    <row r="6" customFormat="false" ht="15" hidden="false" customHeight="false" outlineLevel="0" collapsed="false">
      <c r="A6" s="12" t="s">
        <v>365</v>
      </c>
      <c r="B6" s="6" t="s">
        <v>366</v>
      </c>
      <c r="C6" s="6" t="s">
        <v>367</v>
      </c>
      <c r="D6" s="7" t="s">
        <v>358</v>
      </c>
      <c r="E6" s="7" t="s">
        <v>368</v>
      </c>
      <c r="F6" s="6" t="s">
        <v>369</v>
      </c>
      <c r="G6" s="15" t="s">
        <v>97</v>
      </c>
    </row>
    <row r="7" customFormat="false" ht="15" hidden="false" customHeight="false" outlineLevel="0" collapsed="false">
      <c r="A7" s="12" t="s">
        <v>370</v>
      </c>
      <c r="B7" s="6" t="s">
        <v>371</v>
      </c>
      <c r="C7" s="6" t="s">
        <v>372</v>
      </c>
      <c r="D7" s="7" t="s">
        <v>373</v>
      </c>
      <c r="E7" s="7" t="s">
        <v>374</v>
      </c>
      <c r="F7" s="6" t="s">
        <v>375</v>
      </c>
      <c r="G7" s="15" t="s">
        <v>210</v>
      </c>
    </row>
    <row r="8" customFormat="false" ht="15" hidden="false" customHeight="false" outlineLevel="0" collapsed="false">
      <c r="A8" s="12" t="s">
        <v>376</v>
      </c>
      <c r="B8" s="6" t="s">
        <v>371</v>
      </c>
      <c r="C8" s="6" t="s">
        <v>377</v>
      </c>
      <c r="D8" s="7" t="s">
        <v>378</v>
      </c>
      <c r="E8" s="7" t="s">
        <v>348</v>
      </c>
      <c r="F8" s="6" t="s">
        <v>214</v>
      </c>
      <c r="G8" s="15" t="s">
        <v>215</v>
      </c>
    </row>
    <row r="9" customFormat="false" ht="15" hidden="false" customHeight="false" outlineLevel="0" collapsed="false">
      <c r="A9" s="12" t="s">
        <v>379</v>
      </c>
      <c r="B9" s="6" t="s">
        <v>380</v>
      </c>
      <c r="C9" s="6" t="s">
        <v>381</v>
      </c>
      <c r="D9" s="7" t="s">
        <v>382</v>
      </c>
      <c r="E9" s="7" t="s">
        <v>348</v>
      </c>
      <c r="F9" s="6" t="s">
        <v>218</v>
      </c>
      <c r="G9" s="15" t="s">
        <v>219</v>
      </c>
    </row>
    <row r="10" customFormat="false" ht="15" hidden="false" customHeight="false" outlineLevel="0" collapsed="false">
      <c r="A10" s="12" t="s">
        <v>383</v>
      </c>
      <c r="B10" s="6" t="s">
        <v>371</v>
      </c>
      <c r="C10" s="6" t="s">
        <v>384</v>
      </c>
      <c r="D10" s="7" t="s">
        <v>385</v>
      </c>
      <c r="E10" s="7" t="s">
        <v>348</v>
      </c>
      <c r="F10" s="6" t="s">
        <v>233</v>
      </c>
      <c r="G10" s="15" t="s">
        <v>234</v>
      </c>
    </row>
    <row r="11" customFormat="false" ht="15" hidden="false" customHeight="false" outlineLevel="0" collapsed="false">
      <c r="A11" s="12" t="s">
        <v>386</v>
      </c>
      <c r="B11" s="6" t="s">
        <v>371</v>
      </c>
      <c r="C11" s="6" t="s">
        <v>387</v>
      </c>
      <c r="D11" s="7" t="s">
        <v>388</v>
      </c>
      <c r="E11" s="7" t="s">
        <v>348</v>
      </c>
      <c r="F11" s="6" t="s">
        <v>245</v>
      </c>
      <c r="G11" s="15" t="s">
        <v>246</v>
      </c>
    </row>
    <row r="12" customFormat="false" ht="15" hidden="false" customHeight="false" outlineLevel="0" collapsed="false">
      <c r="A12" s="12" t="s">
        <v>389</v>
      </c>
      <c r="B12" s="6" t="s">
        <v>371</v>
      </c>
      <c r="C12" s="6" t="s">
        <v>390</v>
      </c>
      <c r="D12" s="7" t="s">
        <v>388</v>
      </c>
      <c r="E12" s="7" t="s">
        <v>348</v>
      </c>
      <c r="F12" s="6" t="s">
        <v>245</v>
      </c>
      <c r="G12" s="15" t="s">
        <v>246</v>
      </c>
    </row>
    <row r="13" customFormat="false" ht="15" hidden="false" customHeight="false" outlineLevel="0" collapsed="false">
      <c r="A13" s="12" t="s">
        <v>391</v>
      </c>
      <c r="B13" s="6" t="s">
        <v>371</v>
      </c>
      <c r="C13" s="6" t="s">
        <v>392</v>
      </c>
      <c r="D13" s="7" t="s">
        <v>393</v>
      </c>
      <c r="E13" s="7" t="s">
        <v>374</v>
      </c>
      <c r="F13" s="6" t="s">
        <v>394</v>
      </c>
      <c r="G13" s="15" t="s">
        <v>395</v>
      </c>
    </row>
    <row r="14" customFormat="false" ht="15" hidden="false" customHeight="false" outlineLevel="0" collapsed="false">
      <c r="A14" s="12" t="s">
        <v>396</v>
      </c>
      <c r="B14" s="6" t="s">
        <v>397</v>
      </c>
      <c r="C14" s="6" t="s">
        <v>398</v>
      </c>
      <c r="D14" s="7" t="s">
        <v>399</v>
      </c>
      <c r="E14" s="7" t="s">
        <v>348</v>
      </c>
      <c r="F14" s="6" t="s">
        <v>279</v>
      </c>
      <c r="G14" s="15" t="s">
        <v>280</v>
      </c>
    </row>
    <row r="15" customFormat="false" ht="15" hidden="false" customHeight="false" outlineLevel="0" collapsed="false">
      <c r="A15" s="12" t="s">
        <v>400</v>
      </c>
      <c r="B15" s="6" t="s">
        <v>380</v>
      </c>
      <c r="C15" s="6" t="s">
        <v>401</v>
      </c>
      <c r="D15" s="7" t="s">
        <v>399</v>
      </c>
      <c r="E15" s="7" t="s">
        <v>348</v>
      </c>
      <c r="F15" s="6" t="s">
        <v>185</v>
      </c>
      <c r="G15" s="15" t="s">
        <v>271</v>
      </c>
    </row>
    <row r="16" customFormat="false" ht="15" hidden="false" customHeight="false" outlineLevel="0" collapsed="false">
      <c r="A16" s="12" t="s">
        <v>402</v>
      </c>
      <c r="B16" s="6" t="s">
        <v>403</v>
      </c>
      <c r="C16" s="6" t="s">
        <v>404</v>
      </c>
      <c r="D16" s="7" t="s">
        <v>405</v>
      </c>
      <c r="E16" s="7" t="s">
        <v>348</v>
      </c>
      <c r="F16" s="6" t="s">
        <v>185</v>
      </c>
      <c r="G16" s="15" t="s">
        <v>186</v>
      </c>
    </row>
    <row r="17" customFormat="false" ht="15" hidden="false" customHeight="false" outlineLevel="0" collapsed="false">
      <c r="A17" s="12" t="s">
        <v>402</v>
      </c>
      <c r="B17" s="6" t="s">
        <v>406</v>
      </c>
      <c r="C17" s="6" t="s">
        <v>407</v>
      </c>
      <c r="D17" s="7" t="s">
        <v>405</v>
      </c>
      <c r="E17" s="7" t="s">
        <v>348</v>
      </c>
      <c r="F17" s="6" t="s">
        <v>408</v>
      </c>
      <c r="G17" s="15" t="s">
        <v>181</v>
      </c>
    </row>
    <row r="18" customFormat="false" ht="23.85" hidden="false" customHeight="false" outlineLevel="0" collapsed="false">
      <c r="A18" s="12" t="s">
        <v>409</v>
      </c>
      <c r="B18" s="6" t="s">
        <v>410</v>
      </c>
      <c r="C18" s="6" t="s">
        <v>411</v>
      </c>
      <c r="D18" s="7" t="s">
        <v>405</v>
      </c>
      <c r="E18" s="7" t="s">
        <v>348</v>
      </c>
      <c r="F18" s="6" t="s">
        <v>185</v>
      </c>
      <c r="G18" s="15" t="s">
        <v>412</v>
      </c>
    </row>
    <row r="19" customFormat="false" ht="15" hidden="false" customHeight="false" outlineLevel="0" collapsed="false">
      <c r="A19" s="12" t="s">
        <v>413</v>
      </c>
      <c r="B19" s="6" t="s">
        <v>414</v>
      </c>
      <c r="C19" s="6" t="s">
        <v>415</v>
      </c>
      <c r="D19" s="7" t="s">
        <v>405</v>
      </c>
      <c r="E19" s="7" t="s">
        <v>348</v>
      </c>
      <c r="F19" s="6" t="s">
        <v>185</v>
      </c>
      <c r="G19" s="15" t="s">
        <v>416</v>
      </c>
    </row>
    <row r="20" customFormat="false" ht="15" hidden="false" customHeight="false" outlineLevel="0" collapsed="false">
      <c r="A20" s="12" t="s">
        <v>417</v>
      </c>
      <c r="B20" s="6" t="s">
        <v>418</v>
      </c>
      <c r="C20" s="6" t="s">
        <v>419</v>
      </c>
      <c r="D20" s="7" t="s">
        <v>405</v>
      </c>
      <c r="E20" s="7" t="s">
        <v>348</v>
      </c>
      <c r="F20" s="6" t="s">
        <v>185</v>
      </c>
      <c r="G20" s="15" t="s">
        <v>420</v>
      </c>
    </row>
    <row r="21" customFormat="false" ht="15" hidden="false" customHeight="false" outlineLevel="0" collapsed="false">
      <c r="A21" s="12" t="s">
        <v>421</v>
      </c>
      <c r="B21" s="6" t="s">
        <v>422</v>
      </c>
      <c r="C21" s="6" t="s">
        <v>423</v>
      </c>
      <c r="D21" s="7" t="s">
        <v>424</v>
      </c>
      <c r="E21" s="7" t="s">
        <v>348</v>
      </c>
      <c r="F21" s="6" t="s">
        <v>204</v>
      </c>
      <c r="G21" s="15" t="s">
        <v>205</v>
      </c>
    </row>
    <row r="22" customFormat="false" ht="35.05" hidden="false" customHeight="false" outlineLevel="0" collapsed="false">
      <c r="A22" s="12" t="s">
        <v>425</v>
      </c>
      <c r="B22" s="6" t="s">
        <v>426</v>
      </c>
      <c r="C22" s="6" t="s">
        <v>427</v>
      </c>
      <c r="D22" s="7" t="s">
        <v>428</v>
      </c>
      <c r="E22" s="7" t="s">
        <v>428</v>
      </c>
      <c r="F22" s="6" t="s">
        <v>428</v>
      </c>
      <c r="G22" s="6"/>
    </row>
    <row r="24" customFormat="false" ht="15" hidden="false" customHeight="false" outlineLevel="0" collapsed="false">
      <c r="A24" s="24" t="s">
        <v>429</v>
      </c>
    </row>
  </sheetData>
  <hyperlinks>
    <hyperlink ref="G2" r:id="rId1" display="https://help.erank.com/blog/trend-report/top-etsy-searches-in-2024/"/>
    <hyperlink ref="G3" r:id="rId2" display="https://help.erank.com/blog/top-etsy-searches-in-q4-2025/"/>
    <hyperlink ref="G4" r:id="rId3" display="https://help.erank.com/blog/top-keywords-on-etsy-november-2025/"/>
    <hyperlink ref="G5" r:id="rId4" display="https://help.erank.com/blog/top-keywords-on-etsy-october-2025/"/>
    <hyperlink ref="G6" r:id="rId5" display="https://help.erank.com/blog/australias-top-etsy-keywords-november-2025/"/>
    <hyperlink ref="G7" r:id="rId6" display="https://help.erank.com/blog/the-uks-top-etsy-keywords-february-2026/"/>
    <hyperlink ref="G8" r:id="rId7" display="https://help.erank.com/blog/top-etsy-searches-q1-2026/"/>
    <hyperlink ref="G9" r:id="rId8" display="https://help.erank.com/blog/top-keywords-on-etsy-january-2025/"/>
    <hyperlink ref="G10" r:id="rId9" display="https://help.erank.com/blog/top-keywords-on-etsy-march-2025/"/>
    <hyperlink ref="G11" r:id="rId10" display="https://help.erank.com/blog/top-keywords-on-etsy-may-2025/"/>
    <hyperlink ref="G12" r:id="rId11" display="https://help.erank.com/blog/top-keywords-on-etsy-may-2025/"/>
    <hyperlink ref="G13" r:id="rId12" display="https://help.erank.com/blog/the-uks-top-etsy-keywords-july-2025/"/>
    <hyperlink ref="G14" r:id="rId13" display="https://community.etsy.com/forum/etsy-success-300/topic/etsy-insights-whats-trending-for-back-to-school-185685/"/>
    <hyperlink ref="G15" r:id="rId14" display="https://www.rankhero.com/keywords/printable-teacher-planner"/>
    <hyperlink ref="G16" r:id="rId15" display="https://www.rankhero.com/keywords/digital-planner"/>
    <hyperlink ref="G17" r:id="rId16" display="https://www.listifyai.net/keyword/digital-planner"/>
    <hyperlink ref="G18" r:id="rId17" display="https://www.rankhero.com/keywords/digital-planners"/>
    <hyperlink ref="G19" r:id="rId18" display="https://www.rankhero.com/keywords/digital-planner-goodnotes"/>
    <hyperlink ref="G20" r:id="rId19" display="https://www.rankhero.com/keywords/notion-template"/>
    <hyperlink ref="G21" r:id="rId20" display="https://stateoftheart.beehiiv.com/p/digital-products-to-sell-on-etsy-in-20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4" min="3" style="0" width="5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5" t="s">
        <v>430</v>
      </c>
      <c r="B1" s="5" t="s">
        <v>431</v>
      </c>
      <c r="C1" s="5" t="s">
        <v>432</v>
      </c>
      <c r="D1" s="5" t="s">
        <v>433</v>
      </c>
      <c r="E1" s="5" t="s">
        <v>434</v>
      </c>
    </row>
    <row r="2" customFormat="false" ht="23.85" hidden="false" customHeight="false" outlineLevel="0" collapsed="false">
      <c r="A2" s="7" t="n">
        <v>1</v>
      </c>
      <c r="B2" s="12" t="s">
        <v>435</v>
      </c>
      <c r="C2" s="6" t="s">
        <v>436</v>
      </c>
      <c r="D2" s="6" t="s">
        <v>437</v>
      </c>
      <c r="E2" s="18" t="s">
        <v>438</v>
      </c>
    </row>
    <row r="3" customFormat="false" ht="23.85" hidden="false" customHeight="false" outlineLevel="0" collapsed="false">
      <c r="A3" s="7" t="n">
        <v>2</v>
      </c>
      <c r="B3" s="12" t="s">
        <v>439</v>
      </c>
      <c r="C3" s="6" t="s">
        <v>440</v>
      </c>
      <c r="D3" s="6" t="s">
        <v>441</v>
      </c>
      <c r="E3" s="18" t="s">
        <v>438</v>
      </c>
    </row>
    <row r="4" customFormat="false" ht="15" hidden="false" customHeight="false" outlineLevel="0" collapsed="false">
      <c r="A4" s="7" t="n">
        <v>3</v>
      </c>
      <c r="B4" s="12" t="s">
        <v>442</v>
      </c>
      <c r="C4" s="6" t="s">
        <v>443</v>
      </c>
      <c r="D4" s="6" t="s">
        <v>444</v>
      </c>
      <c r="E4" s="18" t="s">
        <v>438</v>
      </c>
    </row>
    <row r="5" customFormat="false" ht="15" hidden="false" customHeight="false" outlineLevel="0" collapsed="false">
      <c r="A5" s="7" t="n">
        <v>4</v>
      </c>
      <c r="B5" s="12" t="s">
        <v>445</v>
      </c>
      <c r="C5" s="6" t="s">
        <v>446</v>
      </c>
      <c r="D5" s="6" t="s">
        <v>447</v>
      </c>
      <c r="E5" s="18" t="s">
        <v>438</v>
      </c>
    </row>
    <row r="6" customFormat="false" ht="15" hidden="false" customHeight="false" outlineLevel="0" collapsed="false">
      <c r="A6" s="7" t="n">
        <v>5</v>
      </c>
      <c r="B6" s="12" t="s">
        <v>445</v>
      </c>
      <c r="C6" s="6" t="s">
        <v>448</v>
      </c>
      <c r="D6" s="6" t="s">
        <v>449</v>
      </c>
      <c r="E6" s="18" t="s">
        <v>438</v>
      </c>
    </row>
    <row r="7" customFormat="false" ht="15" hidden="false" customHeight="false" outlineLevel="0" collapsed="false">
      <c r="A7" s="7" t="n">
        <v>6</v>
      </c>
      <c r="B7" s="12" t="s">
        <v>450</v>
      </c>
      <c r="C7" s="6" t="s">
        <v>451</v>
      </c>
      <c r="D7" s="6" t="s">
        <v>452</v>
      </c>
      <c r="E7" s="18" t="s">
        <v>438</v>
      </c>
    </row>
    <row r="8" customFormat="false" ht="15" hidden="false" customHeight="false" outlineLevel="0" collapsed="false">
      <c r="A8" s="7" t="n">
        <v>7</v>
      </c>
      <c r="B8" s="12" t="s">
        <v>453</v>
      </c>
      <c r="C8" s="6" t="s">
        <v>454</v>
      </c>
      <c r="D8" s="6" t="s">
        <v>455</v>
      </c>
      <c r="E8" s="18" t="s">
        <v>438</v>
      </c>
    </row>
    <row r="9" customFormat="false" ht="23.85" hidden="false" customHeight="false" outlineLevel="0" collapsed="false">
      <c r="A9" s="7" t="n">
        <v>8</v>
      </c>
      <c r="B9" s="12" t="s">
        <v>456</v>
      </c>
      <c r="C9" s="6" t="s">
        <v>457</v>
      </c>
      <c r="D9" s="6" t="s">
        <v>458</v>
      </c>
      <c r="E9" s="18" t="s">
        <v>438</v>
      </c>
    </row>
    <row r="10" customFormat="false" ht="23.85" hidden="false" customHeight="false" outlineLevel="0" collapsed="false">
      <c r="A10" s="7" t="n">
        <v>9</v>
      </c>
      <c r="B10" s="12" t="s">
        <v>459</v>
      </c>
      <c r="C10" s="6" t="s">
        <v>460</v>
      </c>
      <c r="D10" s="6" t="s">
        <v>461</v>
      </c>
      <c r="E10" s="18" t="s">
        <v>438</v>
      </c>
    </row>
    <row r="12" customFormat="false" ht="15" hidden="false" customHeight="false" outlineLevel="0" collapsed="false">
      <c r="A12" s="24" t="s">
        <v>462</v>
      </c>
    </row>
  </sheetData>
  <dataValidations count="1">
    <dataValidation allowBlank="true" errorStyle="stop" operator="between" showDropDown="false" showErrorMessage="false" showInputMessage="false" sqref="E2:E10" type="list">
      <formula1>"To do,In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2026-10-21T21:28:45Z</dcterms:created>
  <dc:creator>openpyxl</dc:creator>
  <dc:description/>
  <dc:language>en-US</dc:language>
  <cp:lastModifiedBy/>
  <dcterms:modified xsi:type="dcterms:W3CDTF">2026-10-21T21:28:51Z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