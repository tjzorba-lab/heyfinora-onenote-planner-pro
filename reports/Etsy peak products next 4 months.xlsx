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Top 10" sheetId="3" state="visible" r:id="rId5"/>
    <sheet name="50 Products" sheetId="4" state="visible" r:id="rId6"/>
    <sheet name="Timeline" sheetId="5" state="visible" r:id="rId7"/>
  </sheets>
  <definedNames>
    <definedName function="false" hidden="true" localSheetId="3" name="_xlnm._FilterDatabase" vbProcedure="false">'50 Products'!$A$1:$R$51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<sst xmlns="http://schemas.openxmlformats.org/spreadsheetml/2006/main" count="693" uniqueCount="447">
  <si>
    <t xml:space="preserve">Etsy Peak Products — Nov 2026 se Feb 2027</t>
  </si>
  <si>
    <t xml:space="preserve">Yeh file kya hai</t>
  </si>
  <si>
    <t xml:space="preserve">Agle 4 mahine (Nov 2026 – Feb 2027) ke 50 peak digital products: Printable PDF, Spreadsheet (Excel/Google Sheets), PNG-SVG, Template, Digital Planner (7 OneNote).</t>
  </si>
  <si>
    <t xml:space="preserve">Teen lehrein</t>
  </si>
  <si>
    <t xml:space="preserve">1) Christmas: ab se ~20 Dec | 2) New Year reset: 26 Dec – 31 Jan (OneNote ke liye sab se bari) | 3) Valentine's / Ramadan / Lunar New Year: 15 Jan – 14 Feb</t>
  </si>
  <si>
    <t xml:space="preserve">Sheets</t>
  </si>
  <si>
    <t xml:space="preserve">Dashboard = auto counts + chart | Top 10 = abhi banao | 50 Products = master list (filter lagayein) | Timeline = hafta-war plan</t>
  </si>
  <si>
    <t xml:space="preserve">Aap kya edit karein</t>
  </si>
  <si>
    <t xml:space="preserve">50 Products sheet ke PEELE columns: 'Mera Status' (dropdown), 'Meri Price ($)', 'Listing date', 'Meri Notes'. Dashboard khud update hoga.</t>
  </si>
  <si>
    <t xml:space="preserve">Example</t>
  </si>
  <si>
    <t xml:space="preserve">Status = Listed | Meri Price = 6.99 | Listing date = 2026-10-30 | Notes = 'BFCM sale mein'</t>
  </si>
  <si>
    <t xml:space="preserve">Sab se urgent</t>
  </si>
  <si>
    <t xml:space="preserve">⚠️ Cyber Sale signup 27 Oct 2026 tak (newsletter ke hawale se — Etsy Seller Dashboard mein confirm karein). OneNote 2027 Work Planner 31 Oct tak live.</t>
  </si>
  <si>
    <t xml:space="preserve">CTR warning</t>
  </si>
  <si>
    <t xml:space="preserve">Etsy asli CTR / search volume / sales public nahi karta. Saare numbers eRank, RankHero, EverBee, Listify ke ANDAZE hain, search snippets se parhe gaye (pages fetch nahi hue). RankHero volumes Google-style lagte hain — sirf shape/relative size ke liye use karein.</t>
  </si>
  <si>
    <t xml:space="preserve">Unverified dates ⚠️</t>
  </si>
  <si>
    <t xml:space="preserve">Super Bowl LXI 14 Feb 2027 (news reports), Hanukkah ~4 Dec, Lunar New Year ~6 Feb, Ramadan ~8 Feb, Eid ~10 Mar, Pantone 2027 early Dec.</t>
  </si>
  <si>
    <t xml:space="preserve">Risks</t>
  </si>
  <si>
    <t xml:space="preserve">Trademark: Grinch, Bluey/Paw Patrol, Family Feud, Super Bowl ('Big Game' likhein), Elf on the Shelf. AI items disclose karein; AI prompt bundles banned. Digital-to-print test (US/CA) wall art ko affect karta hai, OneNote/spreadsheets ko nahi.</t>
  </si>
  <si>
    <t xml:space="preserve">Full report</t>
  </si>
  <si>
    <t xml:space="preserve">reports/Etsy peak products next 4 months.md</t>
  </si>
  <si>
    <t xml:space="preserve">Dashboard (auto-update)</t>
  </si>
  <si>
    <t xml:space="preserve">Type</t>
  </si>
  <si>
    <t xml:space="preserve">Products</t>
  </si>
  <si>
    <t xml:space="preserve">Competition</t>
  </si>
  <si>
    <t xml:space="preserve">Printable PDF</t>
  </si>
  <si>
    <t xml:space="preserve">Very high</t>
  </si>
  <si>
    <t xml:space="preserve">Spreadsheet</t>
  </si>
  <si>
    <t xml:space="preserve">High</t>
  </si>
  <si>
    <t xml:space="preserve">PNG-SVG</t>
  </si>
  <si>
    <t xml:space="preserve">Medium</t>
  </si>
  <si>
    <t xml:space="preserve">Template</t>
  </si>
  <si>
    <t xml:space="preserve">Low</t>
  </si>
  <si>
    <t xml:space="preserve">Digital Planner</t>
  </si>
  <si>
    <t xml:space="preserve">OneNote products</t>
  </si>
  <si>
    <t xml:space="preserve">Total</t>
  </si>
  <si>
    <t xml:space="preserve">Check (50 hone chahiye)</t>
  </si>
  <si>
    <t xml:space="preserve">Mera Status</t>
  </si>
  <si>
    <t xml:space="preserve">Price stats</t>
  </si>
  <si>
    <t xml:space="preserve">Value</t>
  </si>
  <si>
    <t xml:space="preserve">Idea</t>
  </si>
  <si>
    <t xml:space="preserve">Avg min</t>
  </si>
  <si>
    <t xml:space="preserve">Banana hai</t>
  </si>
  <si>
    <t xml:space="preserve">Avg max</t>
  </si>
  <si>
    <t xml:space="preserve">In progress</t>
  </si>
  <si>
    <t xml:space="preserve">Sab se sasta</t>
  </si>
  <si>
    <t xml:space="preserve">Listed</t>
  </si>
  <si>
    <t xml:space="preserve">Sab se mehnga</t>
  </si>
  <si>
    <t xml:space="preserve">Best seller</t>
  </si>
  <si>
    <t xml:space="preserve">Skip</t>
  </si>
  <si>
    <t xml:space="preserve">Progress (Listed+Best)</t>
  </si>
  <si>
    <t xml:space="preserve">Rank</t>
  </si>
  <si>
    <t xml:space="preserve">#</t>
  </si>
  <si>
    <t xml:space="preserve">Product</t>
  </si>
  <si>
    <t xml:space="preserve">Listing deadline</t>
  </si>
  <si>
    <t xml:space="preserve">Price range</t>
  </si>
  <si>
    <t xml:space="preserve">Winning angle</t>
  </si>
  <si>
    <t xml:space="preserve">Chunne ki wajah: demand ka saboot + medium/low competition + OneNote shop se mail. Tafseel report mein.</t>
  </si>
  <si>
    <t xml:space="preserve">Top 10</t>
  </si>
  <si>
    <t xml:space="preserve">Peak window</t>
  </si>
  <si>
    <t xml:space="preserve">Demand signal</t>
  </si>
  <si>
    <t xml:space="preserve">Source</t>
  </si>
  <si>
    <t xml:space="preserve">Source link</t>
  </si>
  <si>
    <t xml:space="preserve">Min ($)</t>
  </si>
  <si>
    <t xml:space="preserve">Max ($)</t>
  </si>
  <si>
    <t xml:space="preserve">Meri Price ($)</t>
  </si>
  <si>
    <t xml:space="preserve">Listing date</t>
  </si>
  <si>
    <t xml:space="preserve">Meri Notes</t>
  </si>
  <si>
    <t xml:space="preserve">Christmas party game mega-bundle (50–90 games: trivia, Pictionary, Finish the Lyric)</t>
  </si>
  <si>
    <t xml:space="preserve">20 Nov – 24 Dec</t>
  </si>
  <si>
    <t xml:space="preserve">Abhi (31 Oct)</t>
  </si>
  <si>
    <t xml:space="preserve">"90 Christmas Game Bundle" sab se zyada reviewed mein (Etsy)</t>
  </si>
  <si>
    <t xml:space="preserve">Etsy</t>
  </si>
  <si>
    <t xml:space="preserve">https://www.etsy.com/market/christmas_party_games</t>
  </si>
  <si>
    <t xml:space="preserve">$1.50–$7</t>
  </si>
  <si>
    <t xml:space="preserve">Competitors se bara game count, umar ke tiers (kids/teens/adults), "5 min mein print &amp; play"</t>
  </si>
  <si>
    <t xml:space="preserve">⭐ 8</t>
  </si>
  <si>
    <t xml:space="preserve">⭐ Office/staff Christmas party games (virtual + in-person; medical/teacher "Most Likely To")</t>
  </si>
  <si>
    <t xml:space="preserve">1 – 20 Dec</t>
  </si>
  <si>
    <t xml:space="preserve">Etsy related search "Office Christmas Games"; "Most Likely To" adult ~906 reviews (Etsy; Etsy)</t>
  </si>
  <si>
    <t xml:space="preserve">Etsy, Etsy</t>
  </si>
  <si>
    <t xml:space="preserve">https://www.etsy.com/market/company_party_christmas_games</t>
  </si>
  <si>
    <t xml:space="preserve">Medium–high</t>
  </si>
  <si>
    <t xml:space="preserve">$3–$10</t>
  </si>
  <si>
    <t xml:space="preserve">HR-safe, Zoom/Teams version, profession editions (nurses, teachers)</t>
  </si>
  <si>
    <t xml:space="preserve">Christmas elf 24-day kit (arrival letter, notes, props)</t>
  </si>
  <si>
    <t xml:space="preserve">15 Nov – 5 Dec</t>
  </si>
  <si>
    <t xml:space="preserve">Abhi (1 Nov)</t>
  </si>
  <si>
    <t xml:space="preserve">Bestseller badge; ~1.8K-review kit; premium kit $87.50 (Etsy)</t>
  </si>
  <si>
    <t xml:space="preserve">https://www.etsy.com/market/elf_shelf_printables</t>
  </si>
  <si>
    <t xml:space="preserve">$2–$25 (premium tak $87)</t>
  </si>
  <si>
    <t xml:space="preserve">Poora 24-din ka plan, editable naam; "Christmas elf" likhein, trademark naam nahi</t>
  </si>
  <si>
    <t xml:space="preserve">Advent activity cards + advent scavenger hunt (family, kindness, Bible)</t>
  </si>
  <si>
    <t xml:space="preserve">15 Nov – 1 Dec</t>
  </si>
  <si>
    <t xml:space="preserve">Abhi (5 Nov)</t>
  </si>
  <si>
    <t xml:space="preserve">"advent calendar" US #10 Nov 2024 (eRank) (eRank AU/US); kindness cards $4.99 (Etsy)</t>
  </si>
  <si>
    <t xml:space="preserve">eRank AU/US, Etsy</t>
  </si>
  <si>
    <t xml:space="preserve">https://help.erank.com/blog/australias-top-etsy-keywords-november-2024/</t>
  </si>
  <si>
    <t xml:space="preserve">$1–$6</t>
  </si>
  <si>
    <t xml:space="preserve">Toddler/teen/couples editions, Christian version, 24 riddles + reveal clue</t>
  </si>
  <si>
    <t xml:space="preserve">Christmas morning gift-reveal scavenger hunt (editable clues)</t>
  </si>
  <si>
    <t xml:space="preserve">15 – 24 Dec</t>
  </si>
  <si>
    <t xml:space="preserve">20 Nov</t>
  </si>
  <si>
    <t xml:space="preserve">Hard data nahi; advent hunt format bik raha hai (Etsy)</t>
  </si>
  <si>
    <t xml:space="preserve">https://www.etsy.com/listing/1536858646/advent-calendar-printable-christmas</t>
  </si>
  <si>
    <t xml:space="preserve">Low (unverified)</t>
  </si>
  <si>
    <t xml:space="preserve">$3–$6</t>
  </si>
  <si>
    <t xml:space="preserve">Teens/adults ke liye, editable locations, "last-minute instant download"</t>
  </si>
  <si>
    <t xml:space="preserve">Cozy "bold &amp; easy" Christmas coloring + kids activity pack (30–200 pages)</t>
  </si>
  <si>
    <t xml:space="preserve">1 – 23 Dec</t>
  </si>
  <si>
    <t xml:space="preserve">Abhi (10 Nov)</t>
  </si>
  <si>
    <t xml:space="preserve">"coloring pages" 150K+/mo (InsightAgent, unverified) (InsightAgent); 6K-rating coloring shop (Etsy)</t>
  </si>
  <si>
    <t xml:space="preserve">InsightAgent, Etsy</t>
  </si>
  <si>
    <t xml:space="preserve">https://www.insightagent.app/guides/best-selling-printables-on-etsy</t>
  </si>
  <si>
    <t xml:space="preserve">$2–$10</t>
  </si>
  <si>
    <t xml:space="preserve">Bold-easy adult style, school-break pack, low-ink version, umar ke hisaab se</t>
  </si>
  <si>
    <t xml:space="preserve">Hanukkah 8-night kids pack (dreidel game, bingo, I Spy, countdown)</t>
  </si>
  <si>
    <t xml:space="preserve">20 Nov – 10 Dec</t>
  </si>
  <si>
    <t xml:space="preserve">10 Nov</t>
  </si>
  <si>
    <t xml:space="preserve">Etsy par bohat kam listings (Etsy)</t>
  </si>
  <si>
    <t xml:space="preserve">https://www.etsy.com/listing/1339802318/hanukkah-dreidel-game-hanukkah-preschool</t>
  </si>
  <si>
    <t xml:space="preserve">Low–medium (free versions hain)</t>
  </si>
  <si>
    <t xml:space="preserve">8-night countdown structure, family-friendly, editable naam</t>
  </si>
  <si>
    <t xml:space="preserve">⭐ 9</t>
  </si>
  <si>
    <t xml:space="preserve">⭐ NYE 2027 party game bundle + "Noon Year's Eve" kids version</t>
  </si>
  <si>
    <t xml:space="preserve">20 – 31 Dec</t>
  </si>
  <si>
    <t xml:space="preserve">14-game set 7.1K sales; listings ke 426 / 658 / ~2.7K ratings (Etsy; Etsy)</t>
  </si>
  <si>
    <t xml:space="preserve">https://www.etsy.com/listing/1630186716/new-years-eve-games-2026-new-years-games</t>
  </si>
  <si>
    <t xml:space="preserve">$2–$9</t>
  </si>
  <si>
    <t xml:space="preserve">Title mein "2027", 2026 year-in-review trivia, find-the-guest bingo, kids version</t>
  </si>
  <si>
    <t xml:space="preserve">2027 challenge bingo (reading, no-spend, self-care, fitness)</t>
  </si>
  <si>
    <t xml:space="preserve">26 Dec – 31 Jan</t>
  </si>
  <si>
    <t xml:space="preserve">1 Dec</t>
  </si>
  <si>
    <t xml:space="preserve">2026 Book Bingo ke 15.9K reviews (Etsy)</t>
  </si>
  <si>
    <t xml:space="preserve">https://www.etsy.com/market/2026_book_bingo</t>
  </si>
  <si>
    <t xml:space="preserve">$2–$5</t>
  </si>
  <si>
    <t xml:space="preserve">Niche challenges, tracker page, OneNote planner ka PDF companion</t>
  </si>
  <si>
    <t xml:space="preserve">2027 printable calendar (12-page, wall/desk)</t>
  </si>
  <si>
    <t xml:space="preserve">Nov – Jan</t>
  </si>
  <si>
    <t xml:space="preserve">Aik listing: 80 ratings / 770 sales (Etsy)</t>
  </si>
  <si>
    <t xml:space="preserve">https://www.etsy.com/listing/1392165175/printable-2027-calendar-12-page-pdf</t>
  </si>
  <si>
    <t xml:space="preserve">$2–$6</t>
  </si>
  <si>
    <t xml:space="preserve">Style-led (Cloud Dancer, frosty blue), US/UK, Monday-start, holidays shamil</t>
  </si>
  <si>
    <t xml:space="preserve">Chore chart + reward bucks bundle (editable, multi-kid)</t>
  </si>
  <si>
    <t xml:space="preserve">Jan (aur Aug)</t>
  </si>
  <si>
    <t xml:space="preserve">15 Dec</t>
  </si>
  <si>
    <t xml:space="preserve">Reward bucks ~7.1K reviews at $2.59 (Etsy)</t>
  </si>
  <si>
    <t xml:space="preserve">https://www.etsy.com/market/printable_reward_chart</t>
  </si>
  <si>
    <t xml:space="preserve">$1–$7</t>
  </si>
  <si>
    <t xml:space="preserve">Editable, allowance + points system, "new year routine" angle</t>
  </si>
  <si>
    <t xml:space="preserve">Classroom Valentines (editable; meme, gamer, "6 7", dino)</t>
  </si>
  <si>
    <t xml:space="preserve">15 Jan – 13 Feb</t>
  </si>
  <si>
    <t xml:space="preserve">~7.3K reviews on $1.47 set; "valentine downloads" #1 UK Feb 2026 (Etsy; eRank UK)</t>
  </si>
  <si>
    <t xml:space="preserve">Etsy, eRank UK</t>
  </si>
  <si>
    <t xml:space="preserve">https://www.etsy.com/market/classroom_valentine_cards</t>
  </si>
  <si>
    <t xml:space="preserve">$0.88–$4</t>
  </si>
  <si>
    <t xml:space="preserve">Har saal nayi meme slang, pencil/candy attachment, teacher-to-student tags</t>
  </si>
  <si>
    <t xml:space="preserve">Galentine's party game bundle (brunch / wine night)</t>
  </si>
  <si>
    <t xml:space="preserve">1 – 13 Feb</t>
  </si>
  <si>
    <t xml:space="preserve">613 / 212-review listings (Etsy); "galentine gift" ~74K searches Jan 2025 (eRank)</t>
  </si>
  <si>
    <t xml:space="preserve">Etsy, eRank</t>
  </si>
  <si>
    <t xml:space="preserve">https://www.etsy.com/market/galentines_day_party_games</t>
  </si>
  <si>
    <t xml:space="preserve">$2–$17</t>
  </si>
  <si>
    <t xml:space="preserve">Theme party (brunch), "Most Likely To", 20+ games bundle</t>
  </si>
  <si>
    <t xml:space="preserve">⭐ 10</t>
  </si>
  <si>
    <t xml:space="preserve">⭐ "Game Day Valentine's" Big Game party pack (squares + couples bingo + commercial bingo + love notes)</t>
  </si>
  <si>
    <t xml:space="preserve">1 – 14 Feb 2027</t>
  </si>
  <si>
    <t xml:space="preserve">Super Bowl LXI 14 Feb ko (reported) (FOX LA); "2027 Super Big Bowl Pool" listing pehle se hai (Etsy)</t>
  </si>
  <si>
    <t xml:space="preserve">FOX LA, Etsy</t>
  </si>
  <si>
    <t xml:space="preserve">https://www.foxla.com/news/2027-super-bowl-lxi-sofi-staduim-los-angeles</t>
  </si>
  <si>
    <t xml:space="preserve">Low (naya niche)</t>
  </si>
  <si>
    <t xml:space="preserve">$5–$10 (andaza)</t>
  </si>
  <si>
    <t xml:space="preserve">"Big Game" wording (Super Bowl TM nahi), couples + office editions, football classroom Valentines</t>
  </si>
  <si>
    <t xml:space="preserve">Ramadan 2027 countdown + good-deeds calendar (kids) + fasting tracker</t>
  </si>
  <si>
    <t xml:space="preserve">10 Jan – 8 Feb</t>
  </si>
  <si>
    <t xml:space="preserve">Ramadan kids pack ~1K reviews; zyada tar listings ke 1–2 reviews (Etsy; Etsy)</t>
  </si>
  <si>
    <t xml:space="preserve">https://www.etsy.com/market/ramadan_printables</t>
  </si>
  <si>
    <t xml:space="preserve">Undated/reusable, English + Arabic, Eid gift tags upsell</t>
  </si>
  <si>
    <t xml:space="preserve">Lunar New Year 2027 red envelope + zodiac coloring (Year of the Goat)</t>
  </si>
  <si>
    <t xml:space="preserve">15 Jan – 6 Feb</t>
  </si>
  <si>
    <t xml:space="preserve">Shops ke 529 / 717 ratings, listings ke ~0 reviews (Etsy)</t>
  </si>
  <si>
    <t xml:space="preserve">https://www.etsy.com/listing/1652375877/lunar-new-year-red-envelope-coloring</t>
  </si>
  <si>
    <t xml:space="preserve">Low–medium</t>
  </si>
  <si>
    <t xml:space="preserve">"Year of the Goat 2027" title, classroom pack, color + B/W</t>
  </si>
  <si>
    <t xml:space="preserve">⭐ 4</t>
  </si>
  <si>
    <t xml:space="preserve">⭐ 2027 annual + monthly budget spreadsheet (dashboard, Excel + Sheets)</t>
  </si>
  <si>
    <t xml:space="preserve">30 Nov</t>
  </si>
  <si>
    <t xml:space="preserve">"budget tracker spreadsheet" Jan 2026 1,300 vs ~880 baseline; leader listing 5.6K reviews (RankHero; Etsy)</t>
  </si>
  <si>
    <t xml:space="preserve">RankHero, Etsy</t>
  </si>
  <si>
    <t xml:space="preserve">https://www.rankhero.com/keywords/budget-tracker-spreadsheet</t>
  </si>
  <si>
    <t xml:space="preserve">High (difficulty sirf 28–36)</t>
  </si>
  <si>
    <t xml:space="preserve">$5–$25</t>
  </si>
  <si>
    <t xml:space="preserve">Premium annual dashboard, bill calendar, net worth tab; January mein Etsy Ads (Pretty Arrow model)</t>
  </si>
  <si>
    <t xml:space="preserve">Paycheck / biweekly budget sheet</t>
  </si>
  <si>
    <t xml:space="preserve">Jan</t>
  </si>
  <si>
    <t xml:space="preserve">Listing ke 14.5K favorites (Etsy)</t>
  </si>
  <si>
    <t xml:space="preserve">https://www.etsy.com/listing/1473595073/budget-planner-for-google-sheets-monthly</t>
  </si>
  <si>
    <t xml:space="preserve">Paycheck-to-bill allocation, weekly/biweekly/monthly views</t>
  </si>
  <si>
    <t xml:space="preserve">Debt snowball/avalanche + sinking funds bundle</t>
  </si>
  <si>
    <t xml:space="preserve">Jan – Feb</t>
  </si>
  <si>
    <t xml:space="preserve">Debt tracker ke 3.4K reviews (Etsy)</t>
  </si>
  <si>
    <t xml:space="preserve">https://www.etsy.com/market/budgeting_template_with_sinking_funds?page=3</t>
  </si>
  <si>
    <t xml:space="preserve">Dono methods, payoff-date projection, progress bars</t>
  </si>
  <si>
    <t xml:space="preserve">Cash envelope + 52-week savings challenge tracker</t>
  </si>
  <si>
    <t xml:space="preserve">Cash envelope "especially popular in January" (eRank-based blog) (Snazzy Designs)</t>
  </si>
  <si>
    <t xml:space="preserve">Snazzy Designs</t>
  </si>
  <si>
    <t xml:space="preserve">https://snazzydesignsforever.com/etsy-seo-low-competition-keywords-for-2025/</t>
  </si>
  <si>
    <t xml:space="preserve">$2–$7</t>
  </si>
  <si>
    <t xml:space="preserve">Auto checkboxes, printable + digital combo</t>
  </si>
  <si>
    <t xml:space="preserve">Christmas gift + budget tracker (reusable, multi-tab)</t>
  </si>
  <si>
    <t xml:space="preserve">1 Nov – 15 Dec</t>
  </si>
  <si>
    <t xml:space="preserve">Bohat saari mili-juli listings $2–$13 (Etsy)</t>
  </si>
  <si>
    <t xml:space="preserve">https://www.etsy.com/listing/1796870517</t>
  </si>
  <si>
    <t xml:space="preserve">$2–$13</t>
  </si>
  <si>
    <t xml:space="preserve">"Lifetime usability", per-person budget charts, card list; BFCM bundle mein</t>
  </si>
  <si>
    <t xml:space="preserve">⭐ 7</t>
  </si>
  <si>
    <t xml:space="preserve">⭐ Small-business bookkeeping + tax tracker (P&amp;L, Schedule C, mileage)</t>
  </si>
  <si>
    <t xml:space="preserve">Jan – Apr (Feb peak)</t>
  </si>
  <si>
    <t xml:space="preserve">"tax tracker" Jan 2026 4,400, Feb peak, difficulty 31 (RankHero)</t>
  </si>
  <si>
    <t xml:space="preserve">RankHero</t>
  </si>
  <si>
    <t xml:space="preserve">https://www.rankhero.com/keywords/tax-tracker</t>
  </si>
  <si>
    <t xml:space="preserve">$5–$30</t>
  </si>
  <si>
    <t xml:space="preserve">Profession editions (freelancer, cleaning, handyman), multi-year dashboard</t>
  </si>
  <si>
    <t xml:space="preserve">Etsy seller bookkeeping sheet (CSV import, fee breakdown)</t>
  </si>
  <si>
    <t xml:space="preserve">Jan – Apr</t>
  </si>
  <si>
    <t xml:space="preserve">Off-Etsy competitor ~$20 (Gumroad)</t>
  </si>
  <si>
    <t xml:space="preserve">Gumroad</t>
  </si>
  <si>
    <t xml:space="preserve">https://serenatasstore.gumroad.com/l/etsysellershub</t>
  </si>
  <si>
    <t xml:space="preserve">$5–$20</t>
  </si>
  <si>
    <t xml:space="preserve">Etsy statement CSV import, profit per listing</t>
  </si>
  <si>
    <t xml:space="preserve">Weight-loss/fitness + GLP-1 tracker (meal plan, workout)</t>
  </si>
  <si>
    <t xml:space="preserve">Listings par 5.5K / 5.1K sales; GLP-1 tracker bestsellers mein (Etsy)</t>
  </si>
  <si>
    <t xml:space="preserve">https://www.etsy.com/market/weight_loss_tracker_best_sellers</t>
  </si>
  <si>
    <t xml:space="preserve">$1–$14</t>
  </si>
  <si>
    <t xml:space="preserve">GLP-1 injection log, body measurement charts, auto grocery list</t>
  </si>
  <si>
    <t xml:space="preserve">Wedding budget + planner sheet (guest list, RSVP, vendor)</t>
  </si>
  <si>
    <t xml:space="preserve">Dec – Feb</t>
  </si>
  <si>
    <t xml:space="preserve">~21% US proposals December mein (DigiMarCon); common price band $10–$25 (RankHero)</t>
  </si>
  <si>
    <t xml:space="preserve">DigiMarCon, RankHero</t>
  </si>
  <si>
    <t xml:space="preserve">https://digimarcon.com/new-national-analysis-reveals-when-americans-are-most-likely-to-get-engaged-and-when-wedding-planning-peaks</t>
  </si>
  <si>
    <t xml:space="preserve">$10–$70</t>
  </si>
  <si>
    <t xml:space="preserve">Budget vs actual dashboard, seating, "just engaged" gift angle</t>
  </si>
  <si>
    <t xml:space="preserve">2027 habit + goal tracker spreadsheet (dashboard)</t>
  </si>
  <si>
    <t xml:space="preserve">Small listing 25 reviews at $5.76 (Etsy)</t>
  </si>
  <si>
    <t xml:space="preserve">https://www.etsy.com/market/habit_tracker_google_sheet</t>
  </si>
  <si>
    <t xml:space="preserve">$3–$8</t>
  </si>
  <si>
    <t xml:space="preserve">Streaks, yearly heatmap, "2027" dated title</t>
  </si>
  <si>
    <t xml:space="preserve">Christmas tumbler wrap 20/40oz PNG (niche combos only)</t>
  </si>
  <si>
    <t xml:space="preserve">Oct – ~5 Dec</t>
  </si>
  <si>
    <t xml:space="preserve">Abhi (bohat late)</t>
  </si>
  <si>
    <t xml:space="preserve">"christmas png" 125–146% eRank CTR Oct/Dec/Q4 2025 (eRank); wrap 1.5K reviews (Etsy)</t>
  </si>
  <si>
    <t xml:space="preserve">eRank, Etsy</t>
  </si>
  <si>
    <t xml:space="preserve">https://help.erank.com/blog/top-keywords-on-etsy-october-2025/</t>
  </si>
  <si>
    <t xml:space="preserve">$1–$4</t>
  </si>
  <si>
    <t xml:space="preserve">Long-tail combos ("coquette nutcracker 40oz"); generic se na larein</t>
  </si>
  <si>
    <t xml:space="preserve">Christmas shirt SVG/PNG bundle (retro/70s, Cricut + sublimation)</t>
  </si>
  <si>
    <t xml:space="preserve">Sep – late Nov</t>
  </si>
  <si>
    <t xml:space="preserve">Abhi</t>
  </si>
  <si>
    <t xml:space="preserve">"christmas svg" 140%+ CTR, ~1,550 searches AU Nov 2025 (eRank AU); "70s christmas" ~1,900/mo (RankHero)</t>
  </si>
  <si>
    <t xml:space="preserve">eRank AU, RankHero</t>
  </si>
  <si>
    <t xml:space="preserve">https://help.erank.com/blog/australias-top-etsy-keywords-november-2025/</t>
  </si>
  <si>
    <t xml:space="preserve">Retro/groovy niche, clear commercial license, POD-ready sizes</t>
  </si>
  <si>
    <t xml:space="preserve">Merrymaxxing rhinestone/jewel-tone Christmas PNG</t>
  </si>
  <si>
    <t xml:space="preserve">Oct – mid-Dec</t>
  </si>
  <si>
    <t xml:space="preserve">Etsy F/W 2026: bedazzled kits +218% (Etsy Community)</t>
  </si>
  <si>
    <t xml:space="preserve">Etsy Community</t>
  </si>
  <si>
    <t xml:space="preserve">https://community.etsy.com/forum/etsy-success-300/topic/etsy-insights-etsy-trend-edit-fallwinter-26-190171/</t>
  </si>
  <si>
    <t xml:space="preserve">Medium (naya framing)</t>
  </si>
  <si>
    <t xml:space="preserve">$2–$4</t>
  </si>
  <si>
    <t xml:space="preserve">Faux-rhinestone, gemstone colors, original "ornament with personality" characters</t>
  </si>
  <si>
    <t xml:space="preserve">Personalized family/friend/pet ornament laser + SVG file</t>
  </si>
  <si>
    <t xml:space="preserve">Oct – ~10 Dec</t>
  </si>
  <si>
    <t xml:space="preserve">"personalized ornaments" top-20 US Dec 2025 (eRank); friend gifts +1,400% (How To Sell Your Stuff)</t>
  </si>
  <si>
    <t xml:space="preserve">eRank, How To Sell Your Stuff</t>
  </si>
  <si>
    <t xml:space="preserve">https://help.erank.com/blog/top-keywords-on-etsy-december-2025/</t>
  </si>
  <si>
    <t xml:space="preserve">High (free xTool files)</t>
  </si>
  <si>
    <t xml:space="preserve">Glowforge/xTool tested, AI/SVG/DXF, pet + "chosen family" names</t>
  </si>
  <si>
    <t xml:space="preserve">Hand-painted watercolor Christmas clipart (nutcracker, cabin, nativity)</t>
  </si>
  <si>
    <t xml:space="preserve">Hand-painted +280% (Etsy Community); watercolor shop 34.9K sales (Etsy)</t>
  </si>
  <si>
    <t xml:space="preserve">Etsy Community, Etsy</t>
  </si>
  <si>
    <t xml:space="preserve">High (AI flood)</t>
  </si>
  <si>
    <t xml:space="preserve">$3–$15</t>
  </si>
  <si>
    <t xml:space="preserve">Process shots se "human-made" proof, tiered commercial license</t>
  </si>
  <si>
    <t xml:space="preserve">Christmas machine embroidery designs (Scandi folk, nutcracker, PES/DST)</t>
  </si>
  <si>
    <t xml:space="preserve">Sep – early Dec</t>
  </si>
  <si>
    <t xml:space="preserve">Craftmas: beginner sewing +125% (Etsy Handbook); multi-format packs standard (Etsy)</t>
  </si>
  <si>
    <t xml:space="preserve">Etsy Handbook, Etsy</t>
  </si>
  <si>
    <t xml:space="preserve">https://www.etsy.com/seller-handbook/article/1521255894814</t>
  </si>
  <si>
    <t xml:space="preserve">$3–$8 (andaza)</t>
  </si>
  <si>
    <t xml:space="preserve">Saare formats (PES, DST, JEF, VP3), kai sizes, beginner-friendly</t>
  </si>
  <si>
    <t xml:space="preserve">Winter / "cozy" non-Christmas seamless patterns + mug PNG (snowman, cocoa, book club)</t>
  </si>
  <si>
    <t xml:space="preserve">15 Nov</t>
  </si>
  <si>
    <t xml:space="preserve">Cozy Club trend (custom mugs) (How To Sell Your Stuff); POD specs 12×12, 3600 px (Payhip)</t>
  </si>
  <si>
    <t xml:space="preserve">How To Sell Your Stuff, Payhip</t>
  </si>
  <si>
    <t xml:space="preserve">https://howtosellyourstuff.substack.com/p/tuesday-shop-talk-holiday-trends</t>
  </si>
  <si>
    <t xml:space="preserve">$2–$8</t>
  </si>
  <si>
    <t xml:space="preserve">25 Dec ke baad bhi chalta hai, Spoonflower/POD-ready license</t>
  </si>
  <si>
    <t xml:space="preserve">New Year 2027 PNG/SVG ("Hello 2027", NYE shirts, cards)</t>
  </si>
  <si>
    <t xml:space="preserve">early Dec – 31 Dec</t>
  </si>
  <si>
    <t xml:space="preserve">2026 equivalents: 252 / 594 Design Bundles reviews (Design Bundles)</t>
  </si>
  <si>
    <t xml:space="preserve">Design Bundles</t>
  </si>
  <si>
    <t xml:space="preserve">https://designbundles.net/mypaperthings/6264272-hello-new-year-2026-svg-2026-png-new-year-shirt-sv</t>
  </si>
  <si>
    <t xml:space="preserve">Dated designs, matching NYE printable bundle</t>
  </si>
  <si>
    <t xml:space="preserve">Retro/coquette Valentine shirt + tumbler PNG (conversation hearts)</t>
  </si>
  <si>
    <t xml:space="preserve">Jan – 10 Feb</t>
  </si>
  <si>
    <t xml:space="preserve">10 Dec</t>
  </si>
  <si>
    <t xml:space="preserve">"valentine day png" Feb 2026 18,100 vs ~2,400 avg; "valentine shirt" Feb 60,500 (RankHero; RankHero)</t>
  </si>
  <si>
    <t xml:space="preserve">RankHero, RankHero</t>
  </si>
  <si>
    <t xml:space="preserve">https://www.rankhero.com/keywords/valentine-day-png</t>
  </si>
  <si>
    <t xml:space="preserve">Very high (734K listings)</t>
  </si>
  <si>
    <t xml:space="preserve">$1.50–$4</t>
  </si>
  <si>
    <t xml:space="preserve">Coquette + doosra motif mila kar (striped bows, dark coquette)</t>
  </si>
  <si>
    <t xml:space="preserve">Teacher / Galentine / pet Valentine PNG + laser files</t>
  </si>
  <si>
    <t xml:space="preserve">late Dec – 7 Feb</t>
  </si>
  <si>
    <t xml:space="preserve">US Dec 2025 Top 1000 mein 7 Valentine terms (eRank UK Dec 2025); teacher PNGs (Design Bundles)</t>
  </si>
  <si>
    <t xml:space="preserve">eRank UK Dec 2025, Design Bundles</t>
  </si>
  <si>
    <t xml:space="preserve">https://help.erank.com/blog/the-uks-top-etsy-keywords-december-2025/</t>
  </si>
  <si>
    <t xml:space="preserve">$1.50–$8</t>
  </si>
  <si>
    <t xml:space="preserve">"I Teach Sweet Hearts" type, pet-name heart files, friend gifts</t>
  </si>
  <si>
    <t xml:space="preserve">⭐ 1</t>
  </si>
  <si>
    <t xml:space="preserve">⭐ OneNote 2027 Work Planner (dated Nov 2026 – Dec 2027, hyperlinked)</t>
  </si>
  <si>
    <t xml:space="preserve">Dec – Jan</t>
  </si>
  <si>
    <t xml:space="preserve">Abhi (31 Oct) + Cyber Sale</t>
  </si>
  <si>
    <t xml:space="preserve">"2026 planner" Dec 2025 201K, Jan 135K (RankHero); OneNote shop 113.9K sales (Etsy)</t>
  </si>
  <si>
    <t xml:space="preserve">https://www.rankhero.com/keywords/2026-planner</t>
  </si>
  <si>
    <t xml:space="preserve">Medium (OneNote niche)</t>
  </si>
  <si>
    <t xml:space="preserve">$8–$39</t>
  </si>
  <si>
    <t xml:space="preserve">"Start Nov 2026", Microsoft 365/Outlook-style task tags, Surface/Windows mockups</t>
  </si>
  <si>
    <t xml:space="preserve">OneNote project management + meeting notes + sales/CRM template</t>
  </si>
  <si>
    <t xml:space="preserve">Jan (work reset) + saara saal</t>
  </si>
  <si>
    <t xml:space="preserve">Etsy related searches "onenote project management template", "onenote sales planner" (Etsy); (Etsy)</t>
  </si>
  <si>
    <t xml:space="preserve">https://www.etsy.com/market/onenote</t>
  </si>
  <si>
    <t xml:space="preserve">$10–$39</t>
  </si>
  <si>
    <t xml:space="preserve">Role editions (PM, sales, manager 1:1), Teams sharing guide</t>
  </si>
  <si>
    <t xml:space="preserve">⭐ 2</t>
  </si>
  <si>
    <t xml:space="preserve">⭐ OneNote ADHD planner 2027</t>
  </si>
  <si>
    <t xml:space="preserve">Dec – Jan (Dec peak)</t>
  </si>
  <si>
    <t xml:space="preserve">"adhd planner" ~14.8K/mo, Dec 2025 peak, 50K listings (RankHero); OneNote ADHD listings kam (Etsy)</t>
  </si>
  <si>
    <t xml:space="preserve">https://www.rankhero.com/keywords/adhd-planner</t>
  </si>
  <si>
    <t xml:space="preserve">Shame-free, flexible, "brain dump" pages, low-friction daily view (ADHDSoft)</t>
  </si>
  <si>
    <t xml:space="preserve">OneNote spring semester student planner (Jan – May 2027)</t>
  </si>
  <si>
    <t xml:space="preserve">late Dec – Jan</t>
  </si>
  <si>
    <t xml:space="preserve">"Mid Year OneNote Work Planner" listing maujood (Etsy)</t>
  </si>
  <si>
    <t xml:space="preserve">https://www.etsy.com/listing/4379779892</t>
  </si>
  <si>
    <t xml:space="preserve">Low–medium (unverified)</t>
  </si>
  <si>
    <t xml:space="preserve">$5–$15</t>
  </si>
  <si>
    <t xml:space="preserve">Class-wise sections, assignment tracker, university Microsoft 365 users</t>
  </si>
  <si>
    <t xml:space="preserve">OneNote wedding planner</t>
  </si>
  <si>
    <t xml:space="preserve">~47% engagements Thanksgiving se Valentine's ke darmiyan (The Knot); Notion version hai, OneNote nahi mila (NotionEverything)</t>
  </si>
  <si>
    <t xml:space="preserve">The Knot, NotionEverything</t>
  </si>
  <si>
    <t xml:space="preserve">https://www.theknot.com/content/popular-day-to-get-engaged</t>
  </si>
  <si>
    <t xml:space="preserve">$10–$25</t>
  </si>
  <si>
    <t xml:space="preserve">Partner + maid of honor ke saath OneNote sharing, vendor/budget sections</t>
  </si>
  <si>
    <t xml:space="preserve">OneNote holiday planner + gift tracker (add-on / BFCM bundle)</t>
  </si>
  <si>
    <t xml:space="preserve">Holiday planners bestseller list mein (Snazzy Designs)</t>
  </si>
  <si>
    <t xml:space="preserve">https://snazzydesignsforever.com/seasonal-digital-products-to-sell-on-etsy/</t>
  </si>
  <si>
    <t xml:space="preserve">Low (OneNote mein, unverified)</t>
  </si>
  <si>
    <t xml:space="preserve">Work planner ke saath free/discounted bundle, menu + gift + card sections</t>
  </si>
  <si>
    <t xml:space="preserve">OneNote 2027 goal-setting + vision board + budget section</t>
  </si>
  <si>
    <t xml:space="preserve">"vision board" 26K listings vs bari search (RankHero)</t>
  </si>
  <si>
    <t xml:space="preserve">https://www.rankhero.com/keywords/vision-board</t>
  </si>
  <si>
    <t xml:space="preserve">Planner upsell; image-drop vision board page, yearly review template</t>
  </si>
  <si>
    <t xml:space="preserve">2027 dated + undated multi-year planner (GoodNotes/Notability, PDF)</t>
  </si>
  <si>
    <t xml:space="preserve">Dec – Mar</t>
  </si>
  <si>
    <t xml:space="preserve">Undated "2026 2027" bundle ~29.3K reviews (Etsy); "2027 planner" +3,900% (RankHero)</t>
  </si>
  <si>
    <t xml:space="preserve">Etsy, RankHero</t>
  </si>
  <si>
    <t xml:space="preserve">https://www.etsy.com/market/2026_2027_digital_planner</t>
  </si>
  <si>
    <t xml:space="preserve">$2–$39</t>
  </si>
  <si>
    <t xml:space="preserve">Sirf specific audience ke liye (nurse, teacher, homeschool) warna mat banayein</t>
  </si>
  <si>
    <t xml:space="preserve">⭐ 3</t>
  </si>
  <si>
    <t xml:space="preserve">⭐ E-ink planner 2027 (reMarkable / Kindle Scribe / Supernote / Boox)</t>
  </si>
  <si>
    <t xml:space="preserve">"remarkable templates" ~6,600/mo, sirf ~40 sample listings (RankHero); Oct 2026–Dec 2027 PDF $15.16 (Etsy)</t>
  </si>
  <si>
    <t xml:space="preserve">https://www.rankhero.com/keywords/remarkable-templates</t>
  </si>
  <si>
    <t xml:space="preserve">$10–$49</t>
  </si>
  <si>
    <t xml:space="preserve">Har device ka size, hyperlinked tabs, work-focused (aap ka OneNote design reuse)</t>
  </si>
  <si>
    <t xml:space="preserve">⭐ 5</t>
  </si>
  <si>
    <t xml:space="preserve">⭐ Resume/CV template (ATS-friendly, Word/Google Docs/Canva)</t>
  </si>
  <si>
    <t xml:space="preserve">Jan (+48% vs Dec)</t>
  </si>
  <si>
    <t xml:space="preserve">"resume template" Jan 2026 1.22M vs Dec 823K; "resume template 2026" difficulty 26 (RankHero; RankHero)</t>
  </si>
  <si>
    <t xml:space="preserve">https://www.rankhero.com/keywords/resume-template</t>
  </si>
  <si>
    <t xml:space="preserve">"ATS", "1 page", "2027" keywords; cover letter + LinkedIn banner bundle</t>
  </si>
  <si>
    <t xml:space="preserve">⭐ 6</t>
  </si>
  <si>
    <t xml:space="preserve">⭐ Vision board kit 2027 (printable + digital, workbook)</t>
  </si>
  <si>
    <t xml:space="preserve">"vision board" ~673K/mo vs sirf 26,424 listings, difficulty 24 (RankHero)</t>
  </si>
  <si>
    <t xml:space="preserve">Workbook + cut-out images, "vision board party" kit, Canva editable</t>
  </si>
  <si>
    <t xml:space="preserve">Christmas "Feud"-style game (editable PowerPoint/Canva)</t>
  </si>
  <si>
    <t xml:space="preserve">1 – 24 Dec</t>
  </si>
  <si>
    <t xml:space="preserve">Listing ~9.9K count (shayad shop-level); PPT + Bible variants "bestselling" (Etsy)</t>
  </si>
  <si>
    <t xml:space="preserve">https://www.etsy.com/market/christmas_family_feud</t>
  </si>
  <si>
    <t xml:space="preserve">$1.80–$13</t>
  </si>
  <si>
    <t xml:space="preserve">"Christmas Feud" naam (Family Feud TM se bachein), PowerPoint animation, office edition</t>
  </si>
  <si>
    <t xml:space="preserve">Editable Christmas party / cookie exchange invite (Corjl/Templett)</t>
  </si>
  <si>
    <t xml:space="preserve">late Nov – mid-Dec</t>
  </si>
  <si>
    <t xml:space="preserve">Invite shops 1.6K–2.9K reviews (Etsy); cookie exchange listing (Etsy)</t>
  </si>
  <si>
    <t xml:space="preserve">https://etsy.com/shop/quirkprintablesco</t>
  </si>
  <si>
    <t xml:space="preserve">Free demo link, Craftmas "craft night" invite, Table Dressing matching menu + place cards</t>
  </si>
  <si>
    <t xml:space="preserve">Christmas photo card + family newsletter template (Canva, "chosen family")</t>
  </si>
  <si>
    <t xml:space="preserve">Nov – mid-Dec</t>
  </si>
  <si>
    <t xml:space="preserve">Photo products ka peak mid-Dec (Printbox); Canva+PSD card listing (Etsy)</t>
  </si>
  <si>
    <t xml:space="preserve">Printbox, Etsy</t>
  </si>
  <si>
    <t xml:space="preserve">https://www.getprintbox.com/blog/seasonality-of-photo-products/</t>
  </si>
  <si>
    <t xml:space="preserve">High (Canva free library)</t>
  </si>
  <si>
    <t xml:space="preserve">$3–$12</t>
  </si>
  <si>
    <t xml:space="preserve">Family Reimagined angle (friends, pets), year-in-review newsletter, 300 dpi PDF</t>
  </si>
  <si>
    <t xml:space="preserve">Note: Min/Max $ = Price range column se nikale gaye (blue = hardcoded). Competition = qualitative raye. Demand signals tool estimates hain, asli Etsy CTR nahi.</t>
  </si>
  <si>
    <t xml:space="preserve">Waqt</t>
  </si>
  <si>
    <t xml:space="preserve">Kya karein</t>
  </si>
  <si>
    <t xml:space="preserve">Kyun</t>
  </si>
  <si>
    <t xml:space="preserve">Done?</t>
  </si>
  <si>
    <t xml:space="preserve">21 – 27 Oct</t>
  </si>
  <si>
    <t xml:space="preserve">⚠️ Cyber Sale signup 27 Oct tak (newsletter ke hawale se, Etsy Seller Dashboard mein confirm karein). #37 OneNote Work Planner aur #42 holiday add-on finish karein. Digital-to-print opt-out ka faisla karein.</t>
  </si>
  <si>
    <t xml:space="preserve">Signup band hone ke baad BFCM promotion nahi milegi (How To Sell Your Stuff)</t>
  </si>
  <si>
    <t xml:space="preserve">To do</t>
  </si>
  <si>
    <t xml:space="preserve">28 Oct – 3 Nov</t>
  </si>
  <si>
    <t xml:space="preserve">#37 live karein. #2, #48, #1, #21, #10 live karein. Christmas PNG/SVG sirf niche combos mein (#29).</t>
  </si>
  <si>
    <t xml:space="preserve">Christmas party aur tracker ka peak 1 Dec se pehle index hona chahiye</t>
  </si>
  <si>
    <t xml:space="preserve">4 – 10 Nov</t>
  </si>
  <si>
    <t xml:space="preserve">#39 OneNote ADHD, #45 e-ink, #44, #3, #4, #6, #49, #50 live karein</t>
  </si>
  <si>
    <t xml:space="preserve">ADHD aur planner search December mein peak karti hai</t>
  </si>
  <si>
    <t xml:space="preserve">11 – 20 Nov</t>
  </si>
  <si>
    <t xml:space="preserve">#7 Hanukkah, #8 NYE 2027, #5, #33, #34 live karein. 15–30% sale set karein.</t>
  </si>
  <si>
    <t xml:space="preserve">⚠️ Hanukkah ~4 Dec se shuru (calendar knowledge); NYE buyers 20 Dec se</t>
  </si>
  <si>
    <t xml:space="preserve">21 – 30 Nov</t>
  </si>
  <si>
    <t xml:space="preserve">Black Friday 27 Nov, Cyber Monday 30 Nov. #17, #18 budget sheets live karein. Holiday traffic ka peak ~15 Nov – 10 Dec (The First Bloom).</t>
  </si>
  <si>
    <t xml:space="preserve">Budget listings ko January se pehle reviews chahiye</t>
  </si>
  <si>
    <t xml:space="preserve">1 – 10 Dec</t>
  </si>
  <si>
    <t xml:space="preserve">#14 Game Day Valentine's, #9, #19, #20, #24, #25, #26, #36, #38, #40, #41, #43, #47 live karein. ⚠️ Pantone 2027 ka elaan dekhein.</t>
  </si>
  <si>
    <t xml:space="preserve">US mein Valentine searches December mein shuru hoti hain (eRank)</t>
  </si>
  <si>
    <t xml:space="preserve">11 – 20 Dec</t>
  </si>
  <si>
    <t xml:space="preserve">#46 resume, #22, #23 tax, #11, #12, #13, #15 Ramadan, #16 Lunar New Year, #35 live karein. Christmas listings mein "instant download, last minute" add karein.</t>
  </si>
  <si>
    <t xml:space="preserve">Resume aur tax ka peak January–February; mid-Dec mein last-minute printable searches</t>
  </si>
  <si>
    <t xml:space="preserve">21 – 31 Dec</t>
  </si>
  <si>
    <t xml:space="preserve">Christmas listings ko deactivate na karein, sirf thumbnails badal kar NYE/2027 karein. 26 Dec se planners, budget aur vision board par Etsy Ads.</t>
  </si>
  <si>
    <t xml:space="preserve">Planners Dec–Jan, NYE 26–31 Dec</t>
  </si>
  <si>
    <t xml:space="preserve">1 – 15 Jan</t>
  </si>
  <si>
    <t xml:space="preserve">January Ads (budget, resume, OneNote). Spring semester aur wedding planners promote karein. ⚠️ Ramadan countdown ko 10 Jan se push karein.</t>
  </si>
  <si>
    <t xml:space="preserve">Budget ka January lift ~+48%; Etsy January ke shuru mein Valentine's promote karta hai (Etsy Handbook)</t>
  </si>
  <si>
    <t xml:space="preserve">16 – 31 Jan</t>
  </si>
  <si>
    <t xml:space="preserve">Valentine's aur Galentine's ka peak shuru. Undated planners aur "start any month" OneNote versions promote karein.</t>
  </si>
  <si>
    <t xml:space="preserve">Dated planners ki demand January ke baad girti hai</t>
  </si>
  <si>
    <t xml:space="preserve">1 – 14 Feb</t>
  </si>
  <si>
    <t xml:space="preserve">⚠️ Lunar New Year ~6 Feb, ⚠️ Ramadan ~8 Feb, ⚠️ Super Bowl LXI + Valentine's 14 Feb (AOL/FOX LA/The Source ne report kiya, NFL ka official page nahi dekha). Tax tracker ka peak February mein.</t>
  </si>
  <si>
    <t xml:space="preserve">Teen events aik hi hafte mein</t>
  </si>
  <si>
    <t xml:space="preserve">15 – 28 Feb</t>
  </si>
  <si>
    <t xml:space="preserve">Easter, Eid (~10 Mar ⚠️) aur Mother's Day ki listings shuru karein. 50 products ka Etsy Stats review karein.</t>
  </si>
  <si>
    <t xml:space="preserve">Agle season ke liye 6–12 hafte ka lead time</t>
  </si>
  <si>
    <t xml:space="preserve">#numbers = 50 Products sheet ke product numbers. ⚠️ = unverified date.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</si>
</sst>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.00"/>
    <numFmt numFmtId="167" formatCode="0%"/>
    <numFmt numFmtId="168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9E5"/>
      </patternFill>
    </fill>
    <fill>
      <patternFill patternType="solid">
        <fgColor rgb="FFF8CBAD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FFD966"/>
        <bgColor rgb="FFF8CBAD"/>
      </patternFill>
    </fill>
    <fill>
      <patternFill patternType="solid">
        <fgColor rgb="FFFFF9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9E5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Printable PDF</c:v>
                </c:pt>
                <c:pt idx="1">
                  <c:v>Spreadsheet</c:v>
                </c:pt>
                <c:pt idx="2">
                  <c:v>PNG-SVG</c:v>
                </c:pt>
                <c:pt idx="3">
                  <c:v>Template</c:v>
                </c:pt>
                <c:pt idx="4">
                  <c:v>Digital Planner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16</c:v>
                </c:pt>
                <c:pt idx="1">
                  <c:v>10</c:v>
                </c:pt>
                <c:pt idx="2">
                  <c:v>10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</c:ser>
        <c:gapWidth val="150"/>
        <c:overlap val="0"/>
        <c:axId val="58084488"/>
        <c:axId val="12079375"/>
      </c:barChart>
      <c:catAx>
        <c:axId val="5808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79375"/>
        <c:crosses val="autoZero"/>
        <c:auto val="1"/>
        <c:lblAlgn val="ctr"/>
        <c:lblOffset val="100"/>
        <c:noMultiLvlLbl val="0"/>
      </c:catAx>
      <c:valAx>
        <c:axId val="120793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844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130680</xdr:rowOff>
    </xdr:from>
    <xdr:to>
      <xdr:col>14</xdr:col>
      <xdr:colOff>117360</xdr:colOff>
      <xdr:row>14</xdr:row>
      <xdr:rowOff>173880</xdr:rowOff>
    </xdr:to>
    <xdr:graphicFrame>
      <xdr:nvGraphicFramePr>
        <xdr:cNvPr id="0" name="Chart 1"/>
        <xdr:cNvGraphicFramePr/>
      </xdr:nvGraphicFramePr>
      <xdr:xfrm>
        <a:off x="5216040" y="3808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etsy.com/market/christmas_party_games" TargetMode="External"/><Relationship Id="rId2" Type="http://schemas.openxmlformats.org/officeDocument/2006/relationships/hyperlink" Target="https://www.etsy.com/market/company_party_christmas_games" TargetMode="External"/><Relationship Id="rId3" Type="http://schemas.openxmlformats.org/officeDocument/2006/relationships/hyperlink" Target="https://www.etsy.com/market/elf_shelf_printables" TargetMode="External"/><Relationship Id="rId4" Type="http://schemas.openxmlformats.org/officeDocument/2006/relationships/hyperlink" Target="https://help.erank.com/blog/australias-top-etsy-keywords-november-2024/" TargetMode="External"/><Relationship Id="rId5" Type="http://schemas.openxmlformats.org/officeDocument/2006/relationships/hyperlink" Target="https://www.etsy.com/listing/1536858646/advent-calendar-printable-christmas" TargetMode="External"/><Relationship Id="rId6" Type="http://schemas.openxmlformats.org/officeDocument/2006/relationships/hyperlink" Target="https://www.insightagent.app/guides/best-selling-printables-on-etsy" TargetMode="External"/><Relationship Id="rId7" Type="http://schemas.openxmlformats.org/officeDocument/2006/relationships/hyperlink" Target="https://www.etsy.com/listing/1339802318/hanukkah-dreidel-game-hanukkah-preschool" TargetMode="External"/><Relationship Id="rId8" Type="http://schemas.openxmlformats.org/officeDocument/2006/relationships/hyperlink" Target="https://www.etsy.com/listing/1630186716/new-years-eve-games-2026-new-years-games" TargetMode="External"/><Relationship Id="rId9" Type="http://schemas.openxmlformats.org/officeDocument/2006/relationships/hyperlink" Target="https://www.etsy.com/market/2026_book_bingo" TargetMode="External"/><Relationship Id="rId10" Type="http://schemas.openxmlformats.org/officeDocument/2006/relationships/hyperlink" Target="https://www.etsy.com/listing/1392165175/printable-2027-calendar-12-page-pdf" TargetMode="External"/><Relationship Id="rId11" Type="http://schemas.openxmlformats.org/officeDocument/2006/relationships/hyperlink" Target="https://www.etsy.com/market/printable_reward_chart" TargetMode="External"/><Relationship Id="rId12" Type="http://schemas.openxmlformats.org/officeDocument/2006/relationships/hyperlink" Target="https://www.etsy.com/market/classroom_valentine_cards" TargetMode="External"/><Relationship Id="rId13" Type="http://schemas.openxmlformats.org/officeDocument/2006/relationships/hyperlink" Target="https://www.etsy.com/market/galentines_day_party_games" TargetMode="External"/><Relationship Id="rId14" Type="http://schemas.openxmlformats.org/officeDocument/2006/relationships/hyperlink" Target="https://www.foxla.com/news/2027-super-bowl-lxi-sofi-staduim-los-angeles" TargetMode="External"/><Relationship Id="rId15" Type="http://schemas.openxmlformats.org/officeDocument/2006/relationships/hyperlink" Target="https://www.etsy.com/market/ramadan_printables" TargetMode="External"/><Relationship Id="rId16" Type="http://schemas.openxmlformats.org/officeDocument/2006/relationships/hyperlink" Target="https://www.etsy.com/listing/1652375877/lunar-new-year-red-envelope-coloring" TargetMode="External"/><Relationship Id="rId17" Type="http://schemas.openxmlformats.org/officeDocument/2006/relationships/hyperlink" Target="https://www.rankhero.com/keywords/budget-tracker-spreadsheet" TargetMode="External"/><Relationship Id="rId18" Type="http://schemas.openxmlformats.org/officeDocument/2006/relationships/hyperlink" Target="https://www.etsy.com/listing/1473595073/budget-planner-for-google-sheets-monthly" TargetMode="External"/><Relationship Id="rId19" Type="http://schemas.openxmlformats.org/officeDocument/2006/relationships/hyperlink" Target="https://www.etsy.com/market/budgeting_template_with_sinking_funds?page=3" TargetMode="External"/><Relationship Id="rId20" Type="http://schemas.openxmlformats.org/officeDocument/2006/relationships/hyperlink" Target="https://snazzydesignsforever.com/etsy-seo-low-competition-keywords-for-2025/" TargetMode="External"/><Relationship Id="rId21" Type="http://schemas.openxmlformats.org/officeDocument/2006/relationships/hyperlink" Target="https://www.etsy.com/listing/1796870517" TargetMode="External"/><Relationship Id="rId22" Type="http://schemas.openxmlformats.org/officeDocument/2006/relationships/hyperlink" Target="https://www.rankhero.com/keywords/tax-tracker" TargetMode="External"/><Relationship Id="rId23" Type="http://schemas.openxmlformats.org/officeDocument/2006/relationships/hyperlink" Target="https://serenatasstore.gumroad.com/l/etsysellershub" TargetMode="External"/><Relationship Id="rId24" Type="http://schemas.openxmlformats.org/officeDocument/2006/relationships/hyperlink" Target="https://www.etsy.com/market/weight_loss_tracker_best_sellers" TargetMode="External"/><Relationship Id="rId25" Type="http://schemas.openxmlformats.org/officeDocument/2006/relationships/hyperlink" Target="https://digimarcon.com/new-national-analysis-reveals-when-americans-are-most-likely-to-get-engaged-and-when-wedding-planning-peaks" TargetMode="External"/><Relationship Id="rId26" Type="http://schemas.openxmlformats.org/officeDocument/2006/relationships/hyperlink" Target="https://www.etsy.com/market/habit_tracker_google_sheet" TargetMode="External"/><Relationship Id="rId27" Type="http://schemas.openxmlformats.org/officeDocument/2006/relationships/hyperlink" Target="https://help.erank.com/blog/top-keywords-on-etsy-october-2025/" TargetMode="External"/><Relationship Id="rId28" Type="http://schemas.openxmlformats.org/officeDocument/2006/relationships/hyperlink" Target="https://help.erank.com/blog/australias-top-etsy-keywords-november-2025/" TargetMode="External"/><Relationship Id="rId29" Type="http://schemas.openxmlformats.org/officeDocument/2006/relationships/hyperlink" Target="https://community.etsy.com/forum/etsy-success-300/topic/etsy-insights-etsy-trend-edit-fallwinter-26-190171/" TargetMode="External"/><Relationship Id="rId30" Type="http://schemas.openxmlformats.org/officeDocument/2006/relationships/hyperlink" Target="https://help.erank.com/blog/top-keywords-on-etsy-december-2025/" TargetMode="External"/><Relationship Id="rId31" Type="http://schemas.openxmlformats.org/officeDocument/2006/relationships/hyperlink" Target="https://community.etsy.com/forum/etsy-success-300/topic/etsy-insights-etsy-trend-edit-fallwinter-26-190171/" TargetMode="External"/><Relationship Id="rId32" Type="http://schemas.openxmlformats.org/officeDocument/2006/relationships/hyperlink" Target="https://www.etsy.com/seller-handbook/article/1521255894814" TargetMode="External"/><Relationship Id="rId33" Type="http://schemas.openxmlformats.org/officeDocument/2006/relationships/hyperlink" Target="https://howtosellyourstuff.substack.com/p/tuesday-shop-talk-holiday-trends" TargetMode="External"/><Relationship Id="rId34" Type="http://schemas.openxmlformats.org/officeDocument/2006/relationships/hyperlink" Target="https://designbundles.net/mypaperthings/6264272-hello-new-year-2026-svg-2026-png-new-year-shirt-sv" TargetMode="External"/><Relationship Id="rId35" Type="http://schemas.openxmlformats.org/officeDocument/2006/relationships/hyperlink" Target="https://www.rankhero.com/keywords/valentine-day-png" TargetMode="External"/><Relationship Id="rId36" Type="http://schemas.openxmlformats.org/officeDocument/2006/relationships/hyperlink" Target="https://help.erank.com/blog/the-uks-top-etsy-keywords-december-2025/" TargetMode="External"/><Relationship Id="rId37" Type="http://schemas.openxmlformats.org/officeDocument/2006/relationships/hyperlink" Target="https://www.rankhero.com/keywords/2026-planner" TargetMode="External"/><Relationship Id="rId38" Type="http://schemas.openxmlformats.org/officeDocument/2006/relationships/hyperlink" Target="https://www.etsy.com/market/onenote" TargetMode="External"/><Relationship Id="rId39" Type="http://schemas.openxmlformats.org/officeDocument/2006/relationships/hyperlink" Target="https://www.rankhero.com/keywords/adhd-planner" TargetMode="External"/><Relationship Id="rId40" Type="http://schemas.openxmlformats.org/officeDocument/2006/relationships/hyperlink" Target="https://www.etsy.com/listing/4379779892" TargetMode="External"/><Relationship Id="rId41" Type="http://schemas.openxmlformats.org/officeDocument/2006/relationships/hyperlink" Target="https://www.theknot.com/content/popular-day-to-get-engaged" TargetMode="External"/><Relationship Id="rId42" Type="http://schemas.openxmlformats.org/officeDocument/2006/relationships/hyperlink" Target="https://snazzydesignsforever.com/seasonal-digital-products-to-sell-on-etsy/" TargetMode="External"/><Relationship Id="rId43" Type="http://schemas.openxmlformats.org/officeDocument/2006/relationships/hyperlink" Target="https://www.rankhero.com/keywords/vision-board" TargetMode="External"/><Relationship Id="rId44" Type="http://schemas.openxmlformats.org/officeDocument/2006/relationships/hyperlink" Target="https://www.etsy.com/market/2026_2027_digital_planner" TargetMode="External"/><Relationship Id="rId45" Type="http://schemas.openxmlformats.org/officeDocument/2006/relationships/hyperlink" Target="https://www.rankhero.com/keywords/remarkable-templates" TargetMode="External"/><Relationship Id="rId46" Type="http://schemas.openxmlformats.org/officeDocument/2006/relationships/hyperlink" Target="https://www.rankhero.com/keywords/resume-template" TargetMode="External"/><Relationship Id="rId47" Type="http://schemas.openxmlformats.org/officeDocument/2006/relationships/hyperlink" Target="https://www.rankhero.com/keywords/vision-board" TargetMode="External"/><Relationship Id="rId48" Type="http://schemas.openxmlformats.org/officeDocument/2006/relationships/hyperlink" Target="https://www.etsy.com/market/christmas_family_feud" TargetMode="External"/><Relationship Id="rId49" Type="http://schemas.openxmlformats.org/officeDocument/2006/relationships/hyperlink" Target="https://etsy.com/shop/quirkprintablesco" TargetMode="External"/><Relationship Id="rId50" Type="http://schemas.openxmlformats.org/officeDocument/2006/relationships/hyperlink" Target="https://www.getprintbox.com/blog/seasonality-of-photo-products/" TargetMode="External"/><Relationship Id="rId5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4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5" t="s">
        <v>12</v>
      </c>
    </row>
    <row r="9" customFormat="false" ht="35.0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7" min="6" style="0" width="4"/>
  </cols>
  <sheetData>
    <row r="1" customFormat="false" ht="19.7" hidden="false" customHeight="false" outlineLevel="0" collapsed="false">
      <c r="A1" s="1" t="s">
        <v>21</v>
      </c>
    </row>
    <row r="3" customFormat="false" ht="15" hidden="false" customHeight="false" outlineLevel="0" collapsed="false">
      <c r="A3" s="6" t="s">
        <v>22</v>
      </c>
      <c r="B3" s="6" t="s">
        <v>23</v>
      </c>
      <c r="D3" s="6" t="s">
        <v>24</v>
      </c>
      <c r="E3" s="6" t="s">
        <v>23</v>
      </c>
    </row>
    <row r="4" customFormat="false" ht="15" hidden="false" customHeight="false" outlineLevel="0" collapsed="false">
      <c r="A4" s="7" t="s">
        <v>25</v>
      </c>
      <c r="B4" s="8" t="n">
        <f aca="false">COUNTIF('50 Products'!$D$2:$D$51,"Printable PDF*")</f>
        <v>16</v>
      </c>
      <c r="D4" s="7" t="s">
        <v>26</v>
      </c>
      <c r="E4" s="8" t="n">
        <f aca="false">COUNTIF('50 Products'!$J$2:$J$51,"Very high*")</f>
        <v>6</v>
      </c>
    </row>
    <row r="5" customFormat="false" ht="15" hidden="false" customHeight="false" outlineLevel="0" collapsed="false">
      <c r="A5" s="7" t="s">
        <v>27</v>
      </c>
      <c r="B5" s="8" t="n">
        <f aca="false">COUNTIF('50 Products'!$D$2:$D$51,"Spreadsheet*")</f>
        <v>10</v>
      </c>
      <c r="D5" s="7" t="s">
        <v>28</v>
      </c>
      <c r="E5" s="8" t="n">
        <f aca="false">COUNTIF('50 Products'!$J$2:$J$51,"High*")</f>
        <v>14</v>
      </c>
    </row>
    <row r="6" customFormat="false" ht="15" hidden="false" customHeight="false" outlineLevel="0" collapsed="false">
      <c r="A6" s="7" t="s">
        <v>29</v>
      </c>
      <c r="B6" s="8" t="n">
        <f aca="false">COUNTIF('50 Products'!$D$2:$D$51,"PNG-SVG*")</f>
        <v>10</v>
      </c>
      <c r="D6" s="7" t="s">
        <v>30</v>
      </c>
      <c r="E6" s="8" t="n">
        <f aca="false">COUNTIF('50 Products'!$J$2:$J$51,"Medium*")</f>
        <v>19</v>
      </c>
    </row>
    <row r="7" customFormat="false" ht="15" hidden="false" customHeight="false" outlineLevel="0" collapsed="false">
      <c r="A7" s="7" t="s">
        <v>31</v>
      </c>
      <c r="B7" s="8" t="n">
        <f aca="false">COUNTIF('50 Products'!$D$2:$D$51,"Template*")</f>
        <v>5</v>
      </c>
      <c r="D7" s="7" t="s">
        <v>32</v>
      </c>
      <c r="E7" s="8" t="n">
        <f aca="false">COUNTIF('50 Products'!$J$2:$J$51,"Low*")</f>
        <v>11</v>
      </c>
    </row>
    <row r="8" customFormat="false" ht="15" hidden="false" customHeight="false" outlineLevel="0" collapsed="false">
      <c r="A8" s="7" t="s">
        <v>33</v>
      </c>
      <c r="B8" s="8" t="n">
        <f aca="false">COUNTIF('50 Products'!$D$2:$D$51,"Digital Planner*")</f>
        <v>9</v>
      </c>
      <c r="D8" s="7" t="s">
        <v>34</v>
      </c>
      <c r="E8" s="8" t="n">
        <f aca="false">COUNTIF('50 Products'!$C$2:$C$51,"*OneNote*")</f>
        <v>7</v>
      </c>
    </row>
    <row r="9" customFormat="false" ht="15" hidden="false" customHeight="false" outlineLevel="0" collapsed="false">
      <c r="A9" s="9" t="s">
        <v>35</v>
      </c>
      <c r="B9" s="10" t="n">
        <f aca="false">SUM(B4:B8)</f>
        <v>50</v>
      </c>
    </row>
    <row r="10" customFormat="false" ht="15" hidden="false" customHeight="false" outlineLevel="0" collapsed="false">
      <c r="A10" s="7" t="s">
        <v>36</v>
      </c>
      <c r="B10" s="8" t="n">
        <f aca="false">COUNTA('50 Products'!$A$2:$A$51)</f>
        <v>50</v>
      </c>
    </row>
    <row r="12" customFormat="false" ht="15" hidden="false" customHeight="false" outlineLevel="0" collapsed="false">
      <c r="A12" s="6" t="s">
        <v>37</v>
      </c>
      <c r="B12" s="6" t="s">
        <v>23</v>
      </c>
      <c r="D12" s="6" t="s">
        <v>38</v>
      </c>
      <c r="E12" s="6" t="s">
        <v>39</v>
      </c>
    </row>
    <row r="13" customFormat="false" ht="15" hidden="false" customHeight="false" outlineLevel="0" collapsed="false">
      <c r="A13" s="7" t="s">
        <v>40</v>
      </c>
      <c r="B13" s="8" t="n">
        <f aca="false">COUNTIF('50 Products'!$O$2:$O$51,"Idea")</f>
        <v>50</v>
      </c>
      <c r="D13" s="7" t="s">
        <v>41</v>
      </c>
      <c r="E13" s="11" t="n">
        <f aca="false">AVERAGE('50 Products'!L2:L51)</f>
        <v>3.3036</v>
      </c>
    </row>
    <row r="14" customFormat="false" ht="15" hidden="false" customHeight="false" outlineLevel="0" collapsed="false">
      <c r="A14" s="7" t="s">
        <v>42</v>
      </c>
      <c r="B14" s="8" t="n">
        <f aca="false">COUNTIF('50 Products'!$O$2:$O$51,"Banana hai")</f>
        <v>0</v>
      </c>
      <c r="D14" s="7" t="s">
        <v>43</v>
      </c>
      <c r="E14" s="11" t="n">
        <f aca="false">AVERAGE('50 Products'!M2:M51)</f>
        <v>16.08</v>
      </c>
    </row>
    <row r="15" customFormat="false" ht="15" hidden="false" customHeight="false" outlineLevel="0" collapsed="false">
      <c r="A15" s="7" t="s">
        <v>44</v>
      </c>
      <c r="B15" s="8" t="n">
        <f aca="false">COUNTIF('50 Products'!$O$2:$O$51,"In progress")</f>
        <v>0</v>
      </c>
      <c r="D15" s="7" t="s">
        <v>45</v>
      </c>
      <c r="E15" s="11" t="n">
        <f aca="false">MIN('50 Products'!L2:L51)</f>
        <v>0.88</v>
      </c>
    </row>
    <row r="16" customFormat="false" ht="15" hidden="false" customHeight="false" outlineLevel="0" collapsed="false">
      <c r="A16" s="7" t="s">
        <v>46</v>
      </c>
      <c r="B16" s="8" t="n">
        <f aca="false">COUNTIF('50 Products'!$O$2:$O$51,"Listed")</f>
        <v>0</v>
      </c>
      <c r="D16" s="7" t="s">
        <v>47</v>
      </c>
      <c r="E16" s="11" t="n">
        <f aca="false">MAX('50 Products'!M2:M51)</f>
        <v>87</v>
      </c>
    </row>
    <row r="17" customFormat="false" ht="15" hidden="false" customHeight="false" outlineLevel="0" collapsed="false">
      <c r="A17" s="7" t="s">
        <v>48</v>
      </c>
      <c r="B17" s="8" t="n">
        <f aca="false">COUNTIF('50 Products'!$O$2:$O$51,"Best seller")</f>
        <v>0</v>
      </c>
    </row>
    <row r="18" customFormat="false" ht="15" hidden="false" customHeight="false" outlineLevel="0" collapsed="false">
      <c r="A18" s="7" t="s">
        <v>49</v>
      </c>
      <c r="B18" s="8" t="n">
        <f aca="false">COUNTIF('50 Products'!$O$2:$O$51,"Skip")</f>
        <v>0</v>
      </c>
    </row>
    <row r="19" customFormat="false" ht="15" hidden="false" customHeight="false" outlineLevel="0" collapsed="false">
      <c r="A19" s="9" t="s">
        <v>50</v>
      </c>
      <c r="B19" s="12" t="n">
        <f aca="false">(B16+B17)/50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6" t="s">
        <v>51</v>
      </c>
      <c r="B1" s="6" t="s">
        <v>52</v>
      </c>
      <c r="C1" s="6" t="s">
        <v>53</v>
      </c>
      <c r="D1" s="6" t="s">
        <v>22</v>
      </c>
      <c r="E1" s="6" t="s">
        <v>54</v>
      </c>
      <c r="F1" s="6" t="s">
        <v>55</v>
      </c>
      <c r="G1" s="6" t="s">
        <v>56</v>
      </c>
    </row>
    <row r="2" customFormat="false" ht="23.85" hidden="false" customHeight="false" outlineLevel="0" collapsed="false">
      <c r="A2" s="13" t="n">
        <v>1</v>
      </c>
      <c r="B2" s="8" t="n">
        <v>37</v>
      </c>
      <c r="C2" s="9" t="str">
        <f aca="false">'50 Products'!C38</f>
        <v>⭐ OneNote 2027 Work Planner (dated Nov 2026 – Dec 2027, hyperlinked)</v>
      </c>
      <c r="D2" s="8" t="str">
        <f aca="false">'50 Products'!D38</f>
        <v>Digital Planner</v>
      </c>
      <c r="E2" s="8" t="str">
        <f aca="false">'50 Products'!F38</f>
        <v>Abhi (31 Oct) + Cyber Sale</v>
      </c>
      <c r="F2" s="8" t="str">
        <f aca="false">'50 Products'!K38</f>
        <v>$8–$39</v>
      </c>
      <c r="G2" s="7" t="str">
        <f aca="false">'50 Products'!N38</f>
        <v>"Start Nov 2026", Microsoft 365/Outlook-style task tags, Surface/Windows mockups</v>
      </c>
    </row>
    <row r="3" customFormat="false" ht="23.85" hidden="false" customHeight="false" outlineLevel="0" collapsed="false">
      <c r="A3" s="13" t="n">
        <v>2</v>
      </c>
      <c r="B3" s="8" t="n">
        <v>39</v>
      </c>
      <c r="C3" s="9" t="str">
        <f aca="false">'50 Products'!C40</f>
        <v>⭐ OneNote ADHD planner 2027</v>
      </c>
      <c r="D3" s="8" t="str">
        <f aca="false">'50 Products'!D40</f>
        <v>Digital Planner</v>
      </c>
      <c r="E3" s="8" t="str">
        <f aca="false">'50 Products'!F40</f>
        <v>Abhi (10 Nov)</v>
      </c>
      <c r="F3" s="8" t="str">
        <f aca="false">'50 Products'!K40</f>
        <v>$5–$25</v>
      </c>
      <c r="G3" s="7" t="str">
        <f aca="false">'50 Products'!N40</f>
        <v>Shame-free, flexible, "brain dump" pages, low-friction daily view (ADHDSoft)</v>
      </c>
    </row>
    <row r="4" customFormat="false" ht="23.85" hidden="false" customHeight="false" outlineLevel="0" collapsed="false">
      <c r="A4" s="13" t="n">
        <v>3</v>
      </c>
      <c r="B4" s="8" t="n">
        <v>45</v>
      </c>
      <c r="C4" s="9" t="str">
        <f aca="false">'50 Products'!C46</f>
        <v>⭐ E-ink planner 2027 (reMarkable / Kindle Scribe / Supernote / Boox)</v>
      </c>
      <c r="D4" s="8" t="str">
        <f aca="false">'50 Products'!D46</f>
        <v>Digital Planner</v>
      </c>
      <c r="E4" s="8" t="str">
        <f aca="false">'50 Products'!F46</f>
        <v>Abhi (10 Nov)</v>
      </c>
      <c r="F4" s="8" t="str">
        <f aca="false">'50 Products'!K46</f>
        <v>$10–$49</v>
      </c>
      <c r="G4" s="7" t="str">
        <f aca="false">'50 Products'!N46</f>
        <v>Har device ka size, hyperlinked tabs, work-focused (aap ka OneNote design reuse)</v>
      </c>
    </row>
    <row r="5" customFormat="false" ht="23.85" hidden="false" customHeight="false" outlineLevel="0" collapsed="false">
      <c r="A5" s="13" t="n">
        <v>4</v>
      </c>
      <c r="B5" s="8" t="n">
        <v>17</v>
      </c>
      <c r="C5" s="9" t="str">
        <f aca="false">'50 Products'!C18</f>
        <v>⭐ 2027 annual + monthly budget spreadsheet (dashboard, Excel + Sheets)</v>
      </c>
      <c r="D5" s="8" t="str">
        <f aca="false">'50 Products'!D18</f>
        <v>Spreadsheet</v>
      </c>
      <c r="E5" s="8" t="str">
        <f aca="false">'50 Products'!F18</f>
        <v>30 Nov</v>
      </c>
      <c r="F5" s="8" t="str">
        <f aca="false">'50 Products'!K18</f>
        <v>$5–$25</v>
      </c>
      <c r="G5" s="7" t="str">
        <f aca="false">'50 Products'!N18</f>
        <v>Premium annual dashboard, bill calendar, net worth tab; January mein Etsy Ads (Pretty Arrow model)</v>
      </c>
    </row>
    <row r="6" customFormat="false" ht="23.85" hidden="false" customHeight="false" outlineLevel="0" collapsed="false">
      <c r="A6" s="13" t="n">
        <v>5</v>
      </c>
      <c r="B6" s="8" t="n">
        <v>46</v>
      </c>
      <c r="C6" s="9" t="str">
        <f aca="false">'50 Products'!C47</f>
        <v>⭐ Resume/CV template (ATS-friendly, Word/Google Docs/Canva)</v>
      </c>
      <c r="D6" s="8" t="str">
        <f aca="false">'50 Products'!D47</f>
        <v>Template</v>
      </c>
      <c r="E6" s="8" t="str">
        <f aca="false">'50 Products'!F47</f>
        <v>15 Dec</v>
      </c>
      <c r="F6" s="8" t="str">
        <f aca="false">'50 Products'!K47</f>
        <v>$5–$20</v>
      </c>
      <c r="G6" s="7" t="str">
        <f aca="false">'50 Products'!N47</f>
        <v>"ATS", "1 page", "2027" keywords; cover letter + LinkedIn banner bundle</v>
      </c>
    </row>
    <row r="7" customFormat="false" ht="23.85" hidden="false" customHeight="false" outlineLevel="0" collapsed="false">
      <c r="A7" s="13" t="n">
        <v>6</v>
      </c>
      <c r="B7" s="8" t="n">
        <v>47</v>
      </c>
      <c r="C7" s="9" t="str">
        <f aca="false">'50 Products'!C48</f>
        <v>⭐ Vision board kit 2027 (printable + digital, workbook)</v>
      </c>
      <c r="D7" s="8" t="str">
        <f aca="false">'50 Products'!D48</f>
        <v>Template</v>
      </c>
      <c r="E7" s="8" t="str">
        <f aca="false">'50 Products'!F48</f>
        <v>1 Dec</v>
      </c>
      <c r="F7" s="8" t="str">
        <f aca="false">'50 Products'!K48</f>
        <v>$3–$10</v>
      </c>
      <c r="G7" s="7" t="str">
        <f aca="false">'50 Products'!N48</f>
        <v>Workbook + cut-out images, "vision board party" kit, Canva editable</v>
      </c>
    </row>
    <row r="8" customFormat="false" ht="23.85" hidden="false" customHeight="false" outlineLevel="0" collapsed="false">
      <c r="A8" s="13" t="n">
        <v>7</v>
      </c>
      <c r="B8" s="8" t="n">
        <v>22</v>
      </c>
      <c r="C8" s="9" t="str">
        <f aca="false">'50 Products'!C23</f>
        <v>⭐ Small-business bookkeeping + tax tracker (P&amp;L, Schedule C, mileage)</v>
      </c>
      <c r="D8" s="8" t="str">
        <f aca="false">'50 Products'!D23</f>
        <v>Spreadsheet</v>
      </c>
      <c r="E8" s="8" t="str">
        <f aca="false">'50 Products'!F23</f>
        <v>15 Dec</v>
      </c>
      <c r="F8" s="8" t="str">
        <f aca="false">'50 Products'!K23</f>
        <v>$5–$30</v>
      </c>
      <c r="G8" s="7" t="str">
        <f aca="false">'50 Products'!N23</f>
        <v>Profession editions (freelancer, cleaning, handyman), multi-year dashboard</v>
      </c>
    </row>
    <row r="9" customFormat="false" ht="23.85" hidden="false" customHeight="false" outlineLevel="0" collapsed="false">
      <c r="A9" s="13" t="n">
        <v>8</v>
      </c>
      <c r="B9" s="8" t="n">
        <v>2</v>
      </c>
      <c r="C9" s="9" t="str">
        <f aca="false">'50 Products'!C3</f>
        <v>⭐ Office/staff Christmas party games (virtual + in-person; medical/teacher "Most Likely To")</v>
      </c>
      <c r="D9" s="8" t="str">
        <f aca="false">'50 Products'!D3</f>
        <v>Printable PDF</v>
      </c>
      <c r="E9" s="8" t="str">
        <f aca="false">'50 Products'!F3</f>
        <v>Abhi (31 Oct)</v>
      </c>
      <c r="F9" s="8" t="str">
        <f aca="false">'50 Products'!K3</f>
        <v>$3–$10</v>
      </c>
      <c r="G9" s="7" t="str">
        <f aca="false">'50 Products'!N3</f>
        <v>HR-safe, Zoom/Teams version, profession editions (nurses, teachers)</v>
      </c>
    </row>
    <row r="10" customFormat="false" ht="23.85" hidden="false" customHeight="false" outlineLevel="0" collapsed="false">
      <c r="A10" s="13" t="n">
        <v>9</v>
      </c>
      <c r="B10" s="8" t="n">
        <v>8</v>
      </c>
      <c r="C10" s="9" t="str">
        <f aca="false">'50 Products'!C9</f>
        <v>⭐ NYE 2027 party game bundle + "Noon Year's Eve" kids version</v>
      </c>
      <c r="D10" s="8" t="str">
        <f aca="false">'50 Products'!D9</f>
        <v>Printable PDF</v>
      </c>
      <c r="E10" s="8" t="str">
        <f aca="false">'50 Products'!F9</f>
        <v>20 Nov</v>
      </c>
      <c r="F10" s="8" t="str">
        <f aca="false">'50 Products'!K9</f>
        <v>$2–$9</v>
      </c>
      <c r="G10" s="7" t="str">
        <f aca="false">'50 Products'!N9</f>
        <v>Title mein "2027", 2026 year-in-review trivia, find-the-guest bingo, kids version</v>
      </c>
    </row>
    <row r="11" customFormat="false" ht="35.05" hidden="false" customHeight="false" outlineLevel="0" collapsed="false">
      <c r="A11" s="13" t="n">
        <v>10</v>
      </c>
      <c r="B11" s="8" t="n">
        <v>14</v>
      </c>
      <c r="C11" s="9" t="str">
        <f aca="false">'50 Products'!C15</f>
        <v>⭐ "Game Day Valentine's" Big Game party pack (squares + couples bingo + commercial bingo + love notes)</v>
      </c>
      <c r="D11" s="8" t="str">
        <f aca="false">'50 Products'!D15</f>
        <v>Printable PDF</v>
      </c>
      <c r="E11" s="8" t="str">
        <f aca="false">'50 Products'!F15</f>
        <v>1 Dec</v>
      </c>
      <c r="F11" s="8" t="str">
        <f aca="false">'50 Products'!K15</f>
        <v>$5–$10 (andaza)</v>
      </c>
      <c r="G11" s="7" t="str">
        <f aca="false">'50 Products'!N15</f>
        <v>"Big Game" wording (Super Bowl TM nahi), couples + office editions, football classroom Valentines</v>
      </c>
    </row>
    <row r="13" customFormat="false" ht="15" hidden="false" customHeight="false" outlineLevel="0" collapsed="false">
      <c r="A13" s="1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6" min="5" style="0" width="18"/>
    <col collapsed="false" customWidth="true" hidden="false" outlineLevel="0" max="7" min="7" style="0" width="44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1" min="10" style="0" width="13"/>
    <col collapsed="false" customWidth="true" hidden="false" outlineLevel="0" max="13" min="12" style="0" width="9"/>
    <col collapsed="false" customWidth="true" hidden="false" outlineLevel="0" max="14" min="14" style="0" width="46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26"/>
  </cols>
  <sheetData>
    <row r="1" customFormat="false" ht="23.85" hidden="false" customHeight="false" outlineLevel="0" collapsed="false">
      <c r="A1" s="6" t="s">
        <v>52</v>
      </c>
      <c r="B1" s="6" t="s">
        <v>58</v>
      </c>
      <c r="C1" s="6" t="s">
        <v>53</v>
      </c>
      <c r="D1" s="6" t="s">
        <v>22</v>
      </c>
      <c r="E1" s="6" t="s">
        <v>59</v>
      </c>
      <c r="F1" s="6" t="s">
        <v>54</v>
      </c>
      <c r="G1" s="6" t="s">
        <v>60</v>
      </c>
      <c r="H1" s="6" t="s">
        <v>61</v>
      </c>
      <c r="I1" s="6" t="s">
        <v>62</v>
      </c>
      <c r="J1" s="6" t="s">
        <v>24</v>
      </c>
      <c r="K1" s="6" t="s">
        <v>55</v>
      </c>
      <c r="L1" s="6" t="s">
        <v>63</v>
      </c>
      <c r="M1" s="6" t="s">
        <v>64</v>
      </c>
      <c r="N1" s="6" t="s">
        <v>56</v>
      </c>
      <c r="O1" s="6" t="s">
        <v>37</v>
      </c>
      <c r="P1" s="6" t="s">
        <v>65</v>
      </c>
      <c r="Q1" s="6" t="s">
        <v>66</v>
      </c>
      <c r="R1" s="6" t="s">
        <v>67</v>
      </c>
    </row>
    <row r="2" customFormat="false" ht="23.85" hidden="false" customHeight="false" outlineLevel="0" collapsed="false">
      <c r="A2" s="8" t="n">
        <v>1</v>
      </c>
      <c r="B2" s="8"/>
      <c r="C2" s="9" t="s">
        <v>68</v>
      </c>
      <c r="D2" s="8" t="s">
        <v>25</v>
      </c>
      <c r="E2" s="7" t="s">
        <v>69</v>
      </c>
      <c r="F2" s="7" t="s">
        <v>70</v>
      </c>
      <c r="G2" s="7" t="s">
        <v>71</v>
      </c>
      <c r="H2" s="7" t="s">
        <v>72</v>
      </c>
      <c r="I2" s="15" t="s">
        <v>73</v>
      </c>
      <c r="J2" s="16" t="s">
        <v>26</v>
      </c>
      <c r="K2" s="8" t="s">
        <v>74</v>
      </c>
      <c r="L2" s="17" t="n">
        <v>1.5</v>
      </c>
      <c r="M2" s="17" t="n">
        <v>7</v>
      </c>
      <c r="N2" s="7" t="s">
        <v>75</v>
      </c>
      <c r="O2" s="18" t="s">
        <v>40</v>
      </c>
      <c r="P2" s="19"/>
      <c r="Q2" s="20"/>
      <c r="R2" s="21"/>
    </row>
    <row r="3" customFormat="false" ht="23.85" hidden="false" customHeight="false" outlineLevel="0" collapsed="false">
      <c r="A3" s="8" t="n">
        <v>2</v>
      </c>
      <c r="B3" s="22" t="s">
        <v>76</v>
      </c>
      <c r="C3" s="23" t="s">
        <v>77</v>
      </c>
      <c r="D3" s="8" t="s">
        <v>25</v>
      </c>
      <c r="E3" s="7" t="s">
        <v>78</v>
      </c>
      <c r="F3" s="7" t="s">
        <v>70</v>
      </c>
      <c r="G3" s="7" t="s">
        <v>79</v>
      </c>
      <c r="H3" s="7" t="s">
        <v>80</v>
      </c>
      <c r="I3" s="15" t="s">
        <v>81</v>
      </c>
      <c r="J3" s="16" t="s">
        <v>82</v>
      </c>
      <c r="K3" s="8" t="s">
        <v>83</v>
      </c>
      <c r="L3" s="17" t="n">
        <v>3</v>
      </c>
      <c r="M3" s="17" t="n">
        <v>10</v>
      </c>
      <c r="N3" s="7" t="s">
        <v>84</v>
      </c>
      <c r="O3" s="18" t="s">
        <v>40</v>
      </c>
      <c r="P3" s="19"/>
      <c r="Q3" s="20"/>
      <c r="R3" s="21"/>
    </row>
    <row r="4" customFormat="false" ht="35.05" hidden="false" customHeight="false" outlineLevel="0" collapsed="false">
      <c r="A4" s="8" t="n">
        <v>3</v>
      </c>
      <c r="B4" s="8"/>
      <c r="C4" s="9" t="s">
        <v>85</v>
      </c>
      <c r="D4" s="8" t="s">
        <v>25</v>
      </c>
      <c r="E4" s="7" t="s">
        <v>86</v>
      </c>
      <c r="F4" s="7" t="s">
        <v>87</v>
      </c>
      <c r="G4" s="7" t="s">
        <v>88</v>
      </c>
      <c r="H4" s="7" t="s">
        <v>72</v>
      </c>
      <c r="I4" s="15" t="s">
        <v>89</v>
      </c>
      <c r="J4" s="16" t="s">
        <v>28</v>
      </c>
      <c r="K4" s="8" t="s">
        <v>90</v>
      </c>
      <c r="L4" s="17" t="n">
        <v>2</v>
      </c>
      <c r="M4" s="17" t="n">
        <v>87</v>
      </c>
      <c r="N4" s="7" t="s">
        <v>91</v>
      </c>
      <c r="O4" s="18" t="s">
        <v>40</v>
      </c>
      <c r="P4" s="19"/>
      <c r="Q4" s="20"/>
      <c r="R4" s="21"/>
    </row>
    <row r="5" customFormat="false" ht="23.85" hidden="false" customHeight="false" outlineLevel="0" collapsed="false">
      <c r="A5" s="8" t="n">
        <v>4</v>
      </c>
      <c r="B5" s="8"/>
      <c r="C5" s="9" t="s">
        <v>92</v>
      </c>
      <c r="D5" s="8" t="s">
        <v>25</v>
      </c>
      <c r="E5" s="7" t="s">
        <v>93</v>
      </c>
      <c r="F5" s="7" t="s">
        <v>94</v>
      </c>
      <c r="G5" s="7" t="s">
        <v>95</v>
      </c>
      <c r="H5" s="7" t="s">
        <v>96</v>
      </c>
      <c r="I5" s="15" t="s">
        <v>97</v>
      </c>
      <c r="J5" s="16" t="s">
        <v>82</v>
      </c>
      <c r="K5" s="8" t="s">
        <v>98</v>
      </c>
      <c r="L5" s="17" t="n">
        <v>1</v>
      </c>
      <c r="M5" s="17" t="n">
        <v>6</v>
      </c>
      <c r="N5" s="7" t="s">
        <v>99</v>
      </c>
      <c r="O5" s="18" t="s">
        <v>40</v>
      </c>
      <c r="P5" s="19"/>
      <c r="Q5" s="20"/>
      <c r="R5" s="21"/>
    </row>
    <row r="6" customFormat="false" ht="23.85" hidden="false" customHeight="false" outlineLevel="0" collapsed="false">
      <c r="A6" s="8" t="n">
        <v>5</v>
      </c>
      <c r="B6" s="8"/>
      <c r="C6" s="9" t="s">
        <v>100</v>
      </c>
      <c r="D6" s="8" t="s">
        <v>25</v>
      </c>
      <c r="E6" s="7" t="s">
        <v>101</v>
      </c>
      <c r="F6" s="7" t="s">
        <v>102</v>
      </c>
      <c r="G6" s="7" t="s">
        <v>103</v>
      </c>
      <c r="H6" s="7" t="s">
        <v>72</v>
      </c>
      <c r="I6" s="15" t="s">
        <v>104</v>
      </c>
      <c r="J6" s="16" t="s">
        <v>105</v>
      </c>
      <c r="K6" s="8" t="s">
        <v>106</v>
      </c>
      <c r="L6" s="17" t="n">
        <v>3</v>
      </c>
      <c r="M6" s="17" t="n">
        <v>6</v>
      </c>
      <c r="N6" s="7" t="s">
        <v>107</v>
      </c>
      <c r="O6" s="18" t="s">
        <v>40</v>
      </c>
      <c r="P6" s="19"/>
      <c r="Q6" s="20"/>
      <c r="R6" s="21"/>
    </row>
    <row r="7" customFormat="false" ht="23.85" hidden="false" customHeight="false" outlineLevel="0" collapsed="false">
      <c r="A7" s="8" t="n">
        <v>6</v>
      </c>
      <c r="B7" s="8"/>
      <c r="C7" s="9" t="s">
        <v>108</v>
      </c>
      <c r="D7" s="8" t="s">
        <v>25</v>
      </c>
      <c r="E7" s="7" t="s">
        <v>109</v>
      </c>
      <c r="F7" s="7" t="s">
        <v>110</v>
      </c>
      <c r="G7" s="7" t="s">
        <v>111</v>
      </c>
      <c r="H7" s="7" t="s">
        <v>112</v>
      </c>
      <c r="I7" s="15" t="s">
        <v>113</v>
      </c>
      <c r="J7" s="16" t="s">
        <v>28</v>
      </c>
      <c r="K7" s="8" t="s">
        <v>114</v>
      </c>
      <c r="L7" s="17" t="n">
        <v>2</v>
      </c>
      <c r="M7" s="17" t="n">
        <v>10</v>
      </c>
      <c r="N7" s="7" t="s">
        <v>115</v>
      </c>
      <c r="O7" s="18" t="s">
        <v>40</v>
      </c>
      <c r="P7" s="19"/>
      <c r="Q7" s="20"/>
      <c r="R7" s="21"/>
    </row>
    <row r="8" customFormat="false" ht="35.05" hidden="false" customHeight="false" outlineLevel="0" collapsed="false">
      <c r="A8" s="8" t="n">
        <v>7</v>
      </c>
      <c r="B8" s="8"/>
      <c r="C8" s="9" t="s">
        <v>116</v>
      </c>
      <c r="D8" s="8" t="s">
        <v>25</v>
      </c>
      <c r="E8" s="7" t="s">
        <v>117</v>
      </c>
      <c r="F8" s="7" t="s">
        <v>118</v>
      </c>
      <c r="G8" s="7" t="s">
        <v>119</v>
      </c>
      <c r="H8" s="7" t="s">
        <v>72</v>
      </c>
      <c r="I8" s="15" t="s">
        <v>120</v>
      </c>
      <c r="J8" s="16" t="s">
        <v>121</v>
      </c>
      <c r="K8" s="8" t="s">
        <v>106</v>
      </c>
      <c r="L8" s="17" t="n">
        <v>3</v>
      </c>
      <c r="M8" s="17" t="n">
        <v>6</v>
      </c>
      <c r="N8" s="7" t="s">
        <v>122</v>
      </c>
      <c r="O8" s="18" t="s">
        <v>40</v>
      </c>
      <c r="P8" s="19"/>
      <c r="Q8" s="20"/>
      <c r="R8" s="21"/>
    </row>
    <row r="9" customFormat="false" ht="23.85" hidden="false" customHeight="false" outlineLevel="0" collapsed="false">
      <c r="A9" s="8" t="n">
        <v>8</v>
      </c>
      <c r="B9" s="22" t="s">
        <v>123</v>
      </c>
      <c r="C9" s="23" t="s">
        <v>124</v>
      </c>
      <c r="D9" s="8" t="s">
        <v>25</v>
      </c>
      <c r="E9" s="7" t="s">
        <v>125</v>
      </c>
      <c r="F9" s="7" t="s">
        <v>102</v>
      </c>
      <c r="G9" s="7" t="s">
        <v>126</v>
      </c>
      <c r="H9" s="7" t="s">
        <v>80</v>
      </c>
      <c r="I9" s="15" t="s">
        <v>127</v>
      </c>
      <c r="J9" s="16" t="s">
        <v>28</v>
      </c>
      <c r="K9" s="8" t="s">
        <v>128</v>
      </c>
      <c r="L9" s="17" t="n">
        <v>2</v>
      </c>
      <c r="M9" s="17" t="n">
        <v>9</v>
      </c>
      <c r="N9" s="7" t="s">
        <v>129</v>
      </c>
      <c r="O9" s="18" t="s">
        <v>40</v>
      </c>
      <c r="P9" s="19"/>
      <c r="Q9" s="20"/>
      <c r="R9" s="21"/>
    </row>
    <row r="10" customFormat="false" ht="23.85" hidden="false" customHeight="false" outlineLevel="0" collapsed="false">
      <c r="A10" s="8" t="n">
        <v>9</v>
      </c>
      <c r="B10" s="8"/>
      <c r="C10" s="9" t="s">
        <v>130</v>
      </c>
      <c r="D10" s="8" t="s">
        <v>25</v>
      </c>
      <c r="E10" s="7" t="s">
        <v>131</v>
      </c>
      <c r="F10" s="7" t="s">
        <v>132</v>
      </c>
      <c r="G10" s="7" t="s">
        <v>133</v>
      </c>
      <c r="H10" s="7" t="s">
        <v>72</v>
      </c>
      <c r="I10" s="15" t="s">
        <v>134</v>
      </c>
      <c r="J10" s="16" t="s">
        <v>30</v>
      </c>
      <c r="K10" s="8" t="s">
        <v>135</v>
      </c>
      <c r="L10" s="17" t="n">
        <v>2</v>
      </c>
      <c r="M10" s="17" t="n">
        <v>5</v>
      </c>
      <c r="N10" s="7" t="s">
        <v>136</v>
      </c>
      <c r="O10" s="18" t="s">
        <v>40</v>
      </c>
      <c r="P10" s="19"/>
      <c r="Q10" s="20"/>
      <c r="R10" s="21"/>
    </row>
    <row r="11" customFormat="false" ht="23.85" hidden="false" customHeight="false" outlineLevel="0" collapsed="false">
      <c r="A11" s="8" t="n">
        <v>10</v>
      </c>
      <c r="B11" s="8"/>
      <c r="C11" s="9" t="s">
        <v>137</v>
      </c>
      <c r="D11" s="8" t="s">
        <v>25</v>
      </c>
      <c r="E11" s="7" t="s">
        <v>138</v>
      </c>
      <c r="F11" s="7" t="s">
        <v>87</v>
      </c>
      <c r="G11" s="7" t="s">
        <v>139</v>
      </c>
      <c r="H11" s="7" t="s">
        <v>72</v>
      </c>
      <c r="I11" s="15" t="s">
        <v>140</v>
      </c>
      <c r="J11" s="16" t="s">
        <v>28</v>
      </c>
      <c r="K11" s="8" t="s">
        <v>141</v>
      </c>
      <c r="L11" s="17" t="n">
        <v>2</v>
      </c>
      <c r="M11" s="17" t="n">
        <v>6</v>
      </c>
      <c r="N11" s="7" t="s">
        <v>142</v>
      </c>
      <c r="O11" s="18" t="s">
        <v>40</v>
      </c>
      <c r="P11" s="19"/>
      <c r="Q11" s="20"/>
      <c r="R11" s="21"/>
    </row>
    <row r="12" customFormat="false" ht="23.85" hidden="false" customHeight="false" outlineLevel="0" collapsed="false">
      <c r="A12" s="8" t="n">
        <v>11</v>
      </c>
      <c r="B12" s="8"/>
      <c r="C12" s="9" t="s">
        <v>143</v>
      </c>
      <c r="D12" s="8" t="s">
        <v>25</v>
      </c>
      <c r="E12" s="7" t="s">
        <v>144</v>
      </c>
      <c r="F12" s="7" t="s">
        <v>145</v>
      </c>
      <c r="G12" s="7" t="s">
        <v>146</v>
      </c>
      <c r="H12" s="7" t="s">
        <v>72</v>
      </c>
      <c r="I12" s="15" t="s">
        <v>147</v>
      </c>
      <c r="J12" s="16" t="s">
        <v>28</v>
      </c>
      <c r="K12" s="8" t="s">
        <v>148</v>
      </c>
      <c r="L12" s="17" t="n">
        <v>1</v>
      </c>
      <c r="M12" s="17" t="n">
        <v>7</v>
      </c>
      <c r="N12" s="7" t="s">
        <v>149</v>
      </c>
      <c r="O12" s="18" t="s">
        <v>40</v>
      </c>
      <c r="P12" s="19"/>
      <c r="Q12" s="20"/>
      <c r="R12" s="21"/>
    </row>
    <row r="13" customFormat="false" ht="23.85" hidden="false" customHeight="false" outlineLevel="0" collapsed="false">
      <c r="A13" s="8" t="n">
        <v>12</v>
      </c>
      <c r="B13" s="8"/>
      <c r="C13" s="9" t="s">
        <v>150</v>
      </c>
      <c r="D13" s="8" t="s">
        <v>25</v>
      </c>
      <c r="E13" s="7" t="s">
        <v>151</v>
      </c>
      <c r="F13" s="7" t="s">
        <v>145</v>
      </c>
      <c r="G13" s="7" t="s">
        <v>152</v>
      </c>
      <c r="H13" s="7" t="s">
        <v>153</v>
      </c>
      <c r="I13" s="15" t="s">
        <v>154</v>
      </c>
      <c r="J13" s="16" t="s">
        <v>28</v>
      </c>
      <c r="K13" s="8" t="s">
        <v>155</v>
      </c>
      <c r="L13" s="17" t="n">
        <v>0.88</v>
      </c>
      <c r="M13" s="17" t="n">
        <v>4</v>
      </c>
      <c r="N13" s="7" t="s">
        <v>156</v>
      </c>
      <c r="O13" s="18" t="s">
        <v>40</v>
      </c>
      <c r="P13" s="19"/>
      <c r="Q13" s="20"/>
      <c r="R13" s="21"/>
    </row>
    <row r="14" customFormat="false" ht="23.85" hidden="false" customHeight="false" outlineLevel="0" collapsed="false">
      <c r="A14" s="8" t="n">
        <v>13</v>
      </c>
      <c r="B14" s="8"/>
      <c r="C14" s="9" t="s">
        <v>157</v>
      </c>
      <c r="D14" s="8" t="s">
        <v>25</v>
      </c>
      <c r="E14" s="7" t="s">
        <v>158</v>
      </c>
      <c r="F14" s="7" t="s">
        <v>145</v>
      </c>
      <c r="G14" s="7" t="s">
        <v>159</v>
      </c>
      <c r="H14" s="7" t="s">
        <v>160</v>
      </c>
      <c r="I14" s="15" t="s">
        <v>161</v>
      </c>
      <c r="J14" s="16" t="s">
        <v>82</v>
      </c>
      <c r="K14" s="8" t="s">
        <v>162</v>
      </c>
      <c r="L14" s="17" t="n">
        <v>2</v>
      </c>
      <c r="M14" s="17" t="n">
        <v>17</v>
      </c>
      <c r="N14" s="7" t="s">
        <v>163</v>
      </c>
      <c r="O14" s="18" t="s">
        <v>40</v>
      </c>
      <c r="P14" s="19"/>
      <c r="Q14" s="20"/>
      <c r="R14" s="21"/>
    </row>
    <row r="15" customFormat="false" ht="35.05" hidden="false" customHeight="false" outlineLevel="0" collapsed="false">
      <c r="A15" s="8" t="n">
        <v>14</v>
      </c>
      <c r="B15" s="22" t="s">
        <v>164</v>
      </c>
      <c r="C15" s="23" t="s">
        <v>165</v>
      </c>
      <c r="D15" s="8" t="s">
        <v>25</v>
      </c>
      <c r="E15" s="7" t="s">
        <v>166</v>
      </c>
      <c r="F15" s="7" t="s">
        <v>132</v>
      </c>
      <c r="G15" s="7" t="s">
        <v>167</v>
      </c>
      <c r="H15" s="7" t="s">
        <v>168</v>
      </c>
      <c r="I15" s="15" t="s">
        <v>169</v>
      </c>
      <c r="J15" s="16" t="s">
        <v>170</v>
      </c>
      <c r="K15" s="8" t="s">
        <v>171</v>
      </c>
      <c r="L15" s="17" t="n">
        <v>5</v>
      </c>
      <c r="M15" s="17" t="n">
        <v>10</v>
      </c>
      <c r="N15" s="7" t="s">
        <v>172</v>
      </c>
      <c r="O15" s="18" t="s">
        <v>40</v>
      </c>
      <c r="P15" s="19"/>
      <c r="Q15" s="20"/>
      <c r="R15" s="21"/>
    </row>
    <row r="16" customFormat="false" ht="23.85" hidden="false" customHeight="false" outlineLevel="0" collapsed="false">
      <c r="A16" s="8" t="n">
        <v>15</v>
      </c>
      <c r="B16" s="8"/>
      <c r="C16" s="9" t="s">
        <v>173</v>
      </c>
      <c r="D16" s="8" t="s">
        <v>25</v>
      </c>
      <c r="E16" s="7" t="s">
        <v>174</v>
      </c>
      <c r="F16" s="7" t="s">
        <v>145</v>
      </c>
      <c r="G16" s="7" t="s">
        <v>175</v>
      </c>
      <c r="H16" s="7" t="s">
        <v>80</v>
      </c>
      <c r="I16" s="15" t="s">
        <v>176</v>
      </c>
      <c r="J16" s="16" t="s">
        <v>30</v>
      </c>
      <c r="K16" s="8" t="s">
        <v>114</v>
      </c>
      <c r="L16" s="17" t="n">
        <v>2</v>
      </c>
      <c r="M16" s="17" t="n">
        <v>10</v>
      </c>
      <c r="N16" s="7" t="s">
        <v>177</v>
      </c>
      <c r="O16" s="18" t="s">
        <v>40</v>
      </c>
      <c r="P16" s="19"/>
      <c r="Q16" s="20"/>
      <c r="R16" s="21"/>
    </row>
    <row r="17" customFormat="false" ht="23.85" hidden="false" customHeight="false" outlineLevel="0" collapsed="false">
      <c r="A17" s="8" t="n">
        <v>16</v>
      </c>
      <c r="B17" s="8"/>
      <c r="C17" s="9" t="s">
        <v>178</v>
      </c>
      <c r="D17" s="8" t="s">
        <v>25</v>
      </c>
      <c r="E17" s="7" t="s">
        <v>179</v>
      </c>
      <c r="F17" s="7" t="s">
        <v>145</v>
      </c>
      <c r="G17" s="7" t="s">
        <v>180</v>
      </c>
      <c r="H17" s="7" t="s">
        <v>72</v>
      </c>
      <c r="I17" s="15" t="s">
        <v>181</v>
      </c>
      <c r="J17" s="16" t="s">
        <v>182</v>
      </c>
      <c r="K17" s="8" t="s">
        <v>141</v>
      </c>
      <c r="L17" s="17" t="n">
        <v>2</v>
      </c>
      <c r="M17" s="17" t="n">
        <v>6</v>
      </c>
      <c r="N17" s="7" t="s">
        <v>183</v>
      </c>
      <c r="O17" s="18" t="s">
        <v>40</v>
      </c>
      <c r="P17" s="19"/>
      <c r="Q17" s="20"/>
      <c r="R17" s="21"/>
    </row>
    <row r="18" customFormat="false" ht="23.85" hidden="false" customHeight="false" outlineLevel="0" collapsed="false">
      <c r="A18" s="8" t="n">
        <v>17</v>
      </c>
      <c r="B18" s="22" t="s">
        <v>184</v>
      </c>
      <c r="C18" s="23" t="s">
        <v>185</v>
      </c>
      <c r="D18" s="8" t="s">
        <v>27</v>
      </c>
      <c r="E18" s="7" t="s">
        <v>131</v>
      </c>
      <c r="F18" s="7" t="s">
        <v>186</v>
      </c>
      <c r="G18" s="7" t="s">
        <v>187</v>
      </c>
      <c r="H18" s="7" t="s">
        <v>188</v>
      </c>
      <c r="I18" s="15" t="s">
        <v>189</v>
      </c>
      <c r="J18" s="16" t="s">
        <v>190</v>
      </c>
      <c r="K18" s="8" t="s">
        <v>191</v>
      </c>
      <c r="L18" s="17" t="n">
        <v>5</v>
      </c>
      <c r="M18" s="17" t="n">
        <v>25</v>
      </c>
      <c r="N18" s="7" t="s">
        <v>192</v>
      </c>
      <c r="O18" s="18" t="s">
        <v>40</v>
      </c>
      <c r="P18" s="19"/>
      <c r="Q18" s="20"/>
      <c r="R18" s="21"/>
    </row>
    <row r="19" customFormat="false" ht="23.85" hidden="false" customHeight="false" outlineLevel="0" collapsed="false">
      <c r="A19" s="8" t="n">
        <v>18</v>
      </c>
      <c r="B19" s="8"/>
      <c r="C19" s="9" t="s">
        <v>193</v>
      </c>
      <c r="D19" s="8" t="s">
        <v>27</v>
      </c>
      <c r="E19" s="7" t="s">
        <v>194</v>
      </c>
      <c r="F19" s="7" t="s">
        <v>186</v>
      </c>
      <c r="G19" s="7" t="s">
        <v>195</v>
      </c>
      <c r="H19" s="7" t="s">
        <v>72</v>
      </c>
      <c r="I19" s="15" t="s">
        <v>196</v>
      </c>
      <c r="J19" s="16" t="s">
        <v>82</v>
      </c>
      <c r="K19" s="8" t="s">
        <v>83</v>
      </c>
      <c r="L19" s="17" t="n">
        <v>3</v>
      </c>
      <c r="M19" s="17" t="n">
        <v>10</v>
      </c>
      <c r="N19" s="7" t="s">
        <v>197</v>
      </c>
      <c r="O19" s="18" t="s">
        <v>40</v>
      </c>
      <c r="P19" s="19"/>
      <c r="Q19" s="20"/>
      <c r="R19" s="21"/>
    </row>
    <row r="20" customFormat="false" ht="15" hidden="false" customHeight="false" outlineLevel="0" collapsed="false">
      <c r="A20" s="8" t="n">
        <v>19</v>
      </c>
      <c r="B20" s="8"/>
      <c r="C20" s="9" t="s">
        <v>198</v>
      </c>
      <c r="D20" s="8" t="s">
        <v>27</v>
      </c>
      <c r="E20" s="7" t="s">
        <v>199</v>
      </c>
      <c r="F20" s="7" t="s">
        <v>132</v>
      </c>
      <c r="G20" s="7" t="s">
        <v>200</v>
      </c>
      <c r="H20" s="7" t="s">
        <v>72</v>
      </c>
      <c r="I20" s="15" t="s">
        <v>201</v>
      </c>
      <c r="J20" s="16" t="s">
        <v>82</v>
      </c>
      <c r="K20" s="8" t="s">
        <v>128</v>
      </c>
      <c r="L20" s="17" t="n">
        <v>2</v>
      </c>
      <c r="M20" s="17" t="n">
        <v>9</v>
      </c>
      <c r="N20" s="7" t="s">
        <v>202</v>
      </c>
      <c r="O20" s="18" t="s">
        <v>40</v>
      </c>
      <c r="P20" s="19"/>
      <c r="Q20" s="20"/>
      <c r="R20" s="21"/>
    </row>
    <row r="21" customFormat="false" ht="23.85" hidden="false" customHeight="false" outlineLevel="0" collapsed="false">
      <c r="A21" s="8" t="n">
        <v>20</v>
      </c>
      <c r="B21" s="8"/>
      <c r="C21" s="9" t="s">
        <v>203</v>
      </c>
      <c r="D21" s="8" t="s">
        <v>27</v>
      </c>
      <c r="E21" s="7" t="s">
        <v>194</v>
      </c>
      <c r="F21" s="7" t="s">
        <v>132</v>
      </c>
      <c r="G21" s="7" t="s">
        <v>204</v>
      </c>
      <c r="H21" s="7" t="s">
        <v>205</v>
      </c>
      <c r="I21" s="15" t="s">
        <v>206</v>
      </c>
      <c r="J21" s="16" t="s">
        <v>30</v>
      </c>
      <c r="K21" s="8" t="s">
        <v>207</v>
      </c>
      <c r="L21" s="17" t="n">
        <v>2</v>
      </c>
      <c r="M21" s="17" t="n">
        <v>7</v>
      </c>
      <c r="N21" s="7" t="s">
        <v>208</v>
      </c>
      <c r="O21" s="18" t="s">
        <v>40</v>
      </c>
      <c r="P21" s="19"/>
      <c r="Q21" s="20"/>
      <c r="R21" s="21"/>
    </row>
    <row r="22" customFormat="false" ht="23.85" hidden="false" customHeight="false" outlineLevel="0" collapsed="false">
      <c r="A22" s="8" t="n">
        <v>21</v>
      </c>
      <c r="B22" s="8"/>
      <c r="C22" s="9" t="s">
        <v>209</v>
      </c>
      <c r="D22" s="8" t="s">
        <v>27</v>
      </c>
      <c r="E22" s="7" t="s">
        <v>210</v>
      </c>
      <c r="F22" s="7" t="s">
        <v>70</v>
      </c>
      <c r="G22" s="7" t="s">
        <v>211</v>
      </c>
      <c r="H22" s="7" t="s">
        <v>72</v>
      </c>
      <c r="I22" s="15" t="s">
        <v>212</v>
      </c>
      <c r="J22" s="16" t="s">
        <v>28</v>
      </c>
      <c r="K22" s="8" t="s">
        <v>213</v>
      </c>
      <c r="L22" s="17" t="n">
        <v>2</v>
      </c>
      <c r="M22" s="17" t="n">
        <v>13</v>
      </c>
      <c r="N22" s="7" t="s">
        <v>214</v>
      </c>
      <c r="O22" s="18" t="s">
        <v>40</v>
      </c>
      <c r="P22" s="19"/>
      <c r="Q22" s="20"/>
      <c r="R22" s="21"/>
    </row>
    <row r="23" customFormat="false" ht="23.85" hidden="false" customHeight="false" outlineLevel="0" collapsed="false">
      <c r="A23" s="8" t="n">
        <v>22</v>
      </c>
      <c r="B23" s="22" t="s">
        <v>215</v>
      </c>
      <c r="C23" s="23" t="s">
        <v>216</v>
      </c>
      <c r="D23" s="8" t="s">
        <v>27</v>
      </c>
      <c r="E23" s="7" t="s">
        <v>217</v>
      </c>
      <c r="F23" s="7" t="s">
        <v>145</v>
      </c>
      <c r="G23" s="7" t="s">
        <v>218</v>
      </c>
      <c r="H23" s="7" t="s">
        <v>219</v>
      </c>
      <c r="I23" s="15" t="s">
        <v>220</v>
      </c>
      <c r="J23" s="16" t="s">
        <v>30</v>
      </c>
      <c r="K23" s="8" t="s">
        <v>221</v>
      </c>
      <c r="L23" s="17" t="n">
        <v>5</v>
      </c>
      <c r="M23" s="17" t="n">
        <v>30</v>
      </c>
      <c r="N23" s="7" t="s">
        <v>222</v>
      </c>
      <c r="O23" s="18" t="s">
        <v>40</v>
      </c>
      <c r="P23" s="19"/>
      <c r="Q23" s="20"/>
      <c r="R23" s="21"/>
    </row>
    <row r="24" customFormat="false" ht="23.85" hidden="false" customHeight="false" outlineLevel="0" collapsed="false">
      <c r="A24" s="8" t="n">
        <v>23</v>
      </c>
      <c r="B24" s="8"/>
      <c r="C24" s="9" t="s">
        <v>223</v>
      </c>
      <c r="D24" s="8" t="s">
        <v>27</v>
      </c>
      <c r="E24" s="7" t="s">
        <v>224</v>
      </c>
      <c r="F24" s="7" t="s">
        <v>145</v>
      </c>
      <c r="G24" s="7" t="s">
        <v>225</v>
      </c>
      <c r="H24" s="7" t="s">
        <v>226</v>
      </c>
      <c r="I24" s="15" t="s">
        <v>227</v>
      </c>
      <c r="J24" s="16" t="s">
        <v>182</v>
      </c>
      <c r="K24" s="8" t="s">
        <v>228</v>
      </c>
      <c r="L24" s="17" t="n">
        <v>5</v>
      </c>
      <c r="M24" s="17" t="n">
        <v>20</v>
      </c>
      <c r="N24" s="7" t="s">
        <v>229</v>
      </c>
      <c r="O24" s="18" t="s">
        <v>40</v>
      </c>
      <c r="P24" s="19"/>
      <c r="Q24" s="20"/>
      <c r="R24" s="21"/>
    </row>
    <row r="25" customFormat="false" ht="23.85" hidden="false" customHeight="false" outlineLevel="0" collapsed="false">
      <c r="A25" s="8" t="n">
        <v>24</v>
      </c>
      <c r="B25" s="8"/>
      <c r="C25" s="9" t="s">
        <v>230</v>
      </c>
      <c r="D25" s="8" t="s">
        <v>27</v>
      </c>
      <c r="E25" s="7" t="s">
        <v>194</v>
      </c>
      <c r="F25" s="7" t="s">
        <v>132</v>
      </c>
      <c r="G25" s="7" t="s">
        <v>231</v>
      </c>
      <c r="H25" s="7" t="s">
        <v>72</v>
      </c>
      <c r="I25" s="15" t="s">
        <v>232</v>
      </c>
      <c r="J25" s="16" t="s">
        <v>82</v>
      </c>
      <c r="K25" s="8" t="s">
        <v>233</v>
      </c>
      <c r="L25" s="17" t="n">
        <v>1</v>
      </c>
      <c r="M25" s="17" t="n">
        <v>14</v>
      </c>
      <c r="N25" s="7" t="s">
        <v>234</v>
      </c>
      <c r="O25" s="18" t="s">
        <v>40</v>
      </c>
      <c r="P25" s="19"/>
      <c r="Q25" s="20"/>
      <c r="R25" s="21"/>
    </row>
    <row r="26" customFormat="false" ht="23.85" hidden="false" customHeight="false" outlineLevel="0" collapsed="false">
      <c r="A26" s="8" t="n">
        <v>25</v>
      </c>
      <c r="B26" s="8"/>
      <c r="C26" s="9" t="s">
        <v>235</v>
      </c>
      <c r="D26" s="8" t="s">
        <v>27</v>
      </c>
      <c r="E26" s="7" t="s">
        <v>236</v>
      </c>
      <c r="F26" s="7" t="s">
        <v>132</v>
      </c>
      <c r="G26" s="7" t="s">
        <v>237</v>
      </c>
      <c r="H26" s="7" t="s">
        <v>238</v>
      </c>
      <c r="I26" s="15" t="s">
        <v>239</v>
      </c>
      <c r="J26" s="16" t="s">
        <v>28</v>
      </c>
      <c r="K26" s="8" t="s">
        <v>240</v>
      </c>
      <c r="L26" s="17" t="n">
        <v>10</v>
      </c>
      <c r="M26" s="17" t="n">
        <v>70</v>
      </c>
      <c r="N26" s="7" t="s">
        <v>241</v>
      </c>
      <c r="O26" s="18" t="s">
        <v>40</v>
      </c>
      <c r="P26" s="19"/>
      <c r="Q26" s="20"/>
      <c r="R26" s="21"/>
    </row>
    <row r="27" customFormat="false" ht="15" hidden="false" customHeight="false" outlineLevel="0" collapsed="false">
      <c r="A27" s="8" t="n">
        <v>26</v>
      </c>
      <c r="B27" s="8"/>
      <c r="C27" s="9" t="s">
        <v>242</v>
      </c>
      <c r="D27" s="8" t="s">
        <v>27</v>
      </c>
      <c r="E27" s="7" t="s">
        <v>131</v>
      </c>
      <c r="F27" s="7" t="s">
        <v>132</v>
      </c>
      <c r="G27" s="7" t="s">
        <v>243</v>
      </c>
      <c r="H27" s="7" t="s">
        <v>72</v>
      </c>
      <c r="I27" s="15" t="s">
        <v>244</v>
      </c>
      <c r="J27" s="16" t="s">
        <v>30</v>
      </c>
      <c r="K27" s="8" t="s">
        <v>245</v>
      </c>
      <c r="L27" s="17" t="n">
        <v>3</v>
      </c>
      <c r="M27" s="17" t="n">
        <v>8</v>
      </c>
      <c r="N27" s="7" t="s">
        <v>246</v>
      </c>
      <c r="O27" s="18" t="s">
        <v>40</v>
      </c>
      <c r="P27" s="19"/>
      <c r="Q27" s="20"/>
      <c r="R27" s="21"/>
    </row>
    <row r="28" customFormat="false" ht="23.85" hidden="false" customHeight="false" outlineLevel="0" collapsed="false">
      <c r="A28" s="8" t="n">
        <v>27</v>
      </c>
      <c r="B28" s="8"/>
      <c r="C28" s="9" t="s">
        <v>247</v>
      </c>
      <c r="D28" s="8" t="s">
        <v>29</v>
      </c>
      <c r="E28" s="7" t="s">
        <v>248</v>
      </c>
      <c r="F28" s="7" t="s">
        <v>249</v>
      </c>
      <c r="G28" s="7" t="s">
        <v>250</v>
      </c>
      <c r="H28" s="7" t="s">
        <v>251</v>
      </c>
      <c r="I28" s="15" t="s">
        <v>252</v>
      </c>
      <c r="J28" s="16" t="s">
        <v>26</v>
      </c>
      <c r="K28" s="8" t="s">
        <v>253</v>
      </c>
      <c r="L28" s="17" t="n">
        <v>1</v>
      </c>
      <c r="M28" s="17" t="n">
        <v>4</v>
      </c>
      <c r="N28" s="7" t="s">
        <v>254</v>
      </c>
      <c r="O28" s="18" t="s">
        <v>40</v>
      </c>
      <c r="P28" s="19"/>
      <c r="Q28" s="20"/>
      <c r="R28" s="21"/>
    </row>
    <row r="29" customFormat="false" ht="35.05" hidden="false" customHeight="false" outlineLevel="0" collapsed="false">
      <c r="A29" s="8" t="n">
        <v>28</v>
      </c>
      <c r="B29" s="8"/>
      <c r="C29" s="9" t="s">
        <v>255</v>
      </c>
      <c r="D29" s="8" t="s">
        <v>29</v>
      </c>
      <c r="E29" s="7" t="s">
        <v>256</v>
      </c>
      <c r="F29" s="7" t="s">
        <v>257</v>
      </c>
      <c r="G29" s="7" t="s">
        <v>258</v>
      </c>
      <c r="H29" s="7" t="s">
        <v>259</v>
      </c>
      <c r="I29" s="15" t="s">
        <v>260</v>
      </c>
      <c r="J29" s="16" t="s">
        <v>26</v>
      </c>
      <c r="K29" s="8" t="s">
        <v>98</v>
      </c>
      <c r="L29" s="17" t="n">
        <v>1</v>
      </c>
      <c r="M29" s="17" t="n">
        <v>6</v>
      </c>
      <c r="N29" s="7" t="s">
        <v>261</v>
      </c>
      <c r="O29" s="18" t="s">
        <v>40</v>
      </c>
      <c r="P29" s="19"/>
      <c r="Q29" s="20"/>
      <c r="R29" s="21"/>
    </row>
    <row r="30" customFormat="false" ht="23.85" hidden="false" customHeight="false" outlineLevel="0" collapsed="false">
      <c r="A30" s="8" t="n">
        <v>29</v>
      </c>
      <c r="B30" s="8"/>
      <c r="C30" s="9" t="s">
        <v>262</v>
      </c>
      <c r="D30" s="8" t="s">
        <v>29</v>
      </c>
      <c r="E30" s="7" t="s">
        <v>263</v>
      </c>
      <c r="F30" s="7" t="s">
        <v>70</v>
      </c>
      <c r="G30" s="7" t="s">
        <v>264</v>
      </c>
      <c r="H30" s="7" t="s">
        <v>265</v>
      </c>
      <c r="I30" s="15" t="s">
        <v>266</v>
      </c>
      <c r="J30" s="16" t="s">
        <v>267</v>
      </c>
      <c r="K30" s="8" t="s">
        <v>268</v>
      </c>
      <c r="L30" s="17" t="n">
        <v>2</v>
      </c>
      <c r="M30" s="17" t="n">
        <v>4</v>
      </c>
      <c r="N30" s="7" t="s">
        <v>269</v>
      </c>
      <c r="O30" s="18" t="s">
        <v>40</v>
      </c>
      <c r="P30" s="19"/>
      <c r="Q30" s="20"/>
      <c r="R30" s="21"/>
    </row>
    <row r="31" customFormat="false" ht="23.85" hidden="false" customHeight="false" outlineLevel="0" collapsed="false">
      <c r="A31" s="8" t="n">
        <v>30</v>
      </c>
      <c r="B31" s="8"/>
      <c r="C31" s="9" t="s">
        <v>270</v>
      </c>
      <c r="D31" s="8" t="s">
        <v>29</v>
      </c>
      <c r="E31" s="7" t="s">
        <v>271</v>
      </c>
      <c r="F31" s="7" t="s">
        <v>257</v>
      </c>
      <c r="G31" s="7" t="s">
        <v>272</v>
      </c>
      <c r="H31" s="7" t="s">
        <v>273</v>
      </c>
      <c r="I31" s="15" t="s">
        <v>274</v>
      </c>
      <c r="J31" s="16" t="s">
        <v>275</v>
      </c>
      <c r="K31" s="8" t="s">
        <v>83</v>
      </c>
      <c r="L31" s="17" t="n">
        <v>3</v>
      </c>
      <c r="M31" s="17" t="n">
        <v>10</v>
      </c>
      <c r="N31" s="7" t="s">
        <v>276</v>
      </c>
      <c r="O31" s="18" t="s">
        <v>40</v>
      </c>
      <c r="P31" s="19"/>
      <c r="Q31" s="20"/>
      <c r="R31" s="21"/>
    </row>
    <row r="32" customFormat="false" ht="23.85" hidden="false" customHeight="false" outlineLevel="0" collapsed="false">
      <c r="A32" s="8" t="n">
        <v>31</v>
      </c>
      <c r="B32" s="8"/>
      <c r="C32" s="9" t="s">
        <v>277</v>
      </c>
      <c r="D32" s="8" t="s">
        <v>29</v>
      </c>
      <c r="E32" s="7" t="s">
        <v>263</v>
      </c>
      <c r="F32" s="7" t="s">
        <v>257</v>
      </c>
      <c r="G32" s="7" t="s">
        <v>278</v>
      </c>
      <c r="H32" s="7" t="s">
        <v>279</v>
      </c>
      <c r="I32" s="15" t="s">
        <v>266</v>
      </c>
      <c r="J32" s="16" t="s">
        <v>280</v>
      </c>
      <c r="K32" s="8" t="s">
        <v>281</v>
      </c>
      <c r="L32" s="17" t="n">
        <v>3</v>
      </c>
      <c r="M32" s="17" t="n">
        <v>15</v>
      </c>
      <c r="N32" s="7" t="s">
        <v>282</v>
      </c>
      <c r="O32" s="18" t="s">
        <v>40</v>
      </c>
      <c r="P32" s="19"/>
      <c r="Q32" s="20"/>
      <c r="R32" s="21"/>
    </row>
    <row r="33" customFormat="false" ht="23.85" hidden="false" customHeight="false" outlineLevel="0" collapsed="false">
      <c r="A33" s="8" t="n">
        <v>32</v>
      </c>
      <c r="B33" s="8"/>
      <c r="C33" s="9" t="s">
        <v>283</v>
      </c>
      <c r="D33" s="8" t="s">
        <v>29</v>
      </c>
      <c r="E33" s="7" t="s">
        <v>284</v>
      </c>
      <c r="F33" s="7" t="s">
        <v>257</v>
      </c>
      <c r="G33" s="7" t="s">
        <v>285</v>
      </c>
      <c r="H33" s="7" t="s">
        <v>286</v>
      </c>
      <c r="I33" s="15" t="s">
        <v>287</v>
      </c>
      <c r="J33" s="16" t="s">
        <v>30</v>
      </c>
      <c r="K33" s="8" t="s">
        <v>288</v>
      </c>
      <c r="L33" s="17" t="n">
        <v>3</v>
      </c>
      <c r="M33" s="17" t="n">
        <v>8</v>
      </c>
      <c r="N33" s="7" t="s">
        <v>289</v>
      </c>
      <c r="O33" s="18" t="s">
        <v>40</v>
      </c>
      <c r="P33" s="19"/>
      <c r="Q33" s="20"/>
      <c r="R33" s="21"/>
    </row>
    <row r="34" customFormat="false" ht="23.85" hidden="false" customHeight="false" outlineLevel="0" collapsed="false">
      <c r="A34" s="8" t="n">
        <v>33</v>
      </c>
      <c r="B34" s="8"/>
      <c r="C34" s="9" t="s">
        <v>290</v>
      </c>
      <c r="D34" s="8" t="s">
        <v>29</v>
      </c>
      <c r="E34" s="7" t="s">
        <v>236</v>
      </c>
      <c r="F34" s="7" t="s">
        <v>291</v>
      </c>
      <c r="G34" s="7" t="s">
        <v>292</v>
      </c>
      <c r="H34" s="7" t="s">
        <v>293</v>
      </c>
      <c r="I34" s="15" t="s">
        <v>294</v>
      </c>
      <c r="J34" s="16" t="s">
        <v>30</v>
      </c>
      <c r="K34" s="8" t="s">
        <v>295</v>
      </c>
      <c r="L34" s="17" t="n">
        <v>2</v>
      </c>
      <c r="M34" s="17" t="n">
        <v>8</v>
      </c>
      <c r="N34" s="7" t="s">
        <v>296</v>
      </c>
      <c r="O34" s="18" t="s">
        <v>40</v>
      </c>
      <c r="P34" s="19"/>
      <c r="Q34" s="20"/>
      <c r="R34" s="21"/>
    </row>
    <row r="35" customFormat="false" ht="23.85" hidden="false" customHeight="false" outlineLevel="0" collapsed="false">
      <c r="A35" s="8" t="n">
        <v>34</v>
      </c>
      <c r="B35" s="8"/>
      <c r="C35" s="9" t="s">
        <v>297</v>
      </c>
      <c r="D35" s="8" t="s">
        <v>29</v>
      </c>
      <c r="E35" s="7" t="s">
        <v>298</v>
      </c>
      <c r="F35" s="7" t="s">
        <v>291</v>
      </c>
      <c r="G35" s="7" t="s">
        <v>299</v>
      </c>
      <c r="H35" s="7" t="s">
        <v>300</v>
      </c>
      <c r="I35" s="15" t="s">
        <v>301</v>
      </c>
      <c r="J35" s="16" t="s">
        <v>30</v>
      </c>
      <c r="K35" s="8" t="s">
        <v>253</v>
      </c>
      <c r="L35" s="17" t="n">
        <v>1</v>
      </c>
      <c r="M35" s="17" t="n">
        <v>4</v>
      </c>
      <c r="N35" s="7" t="s">
        <v>302</v>
      </c>
      <c r="O35" s="18" t="s">
        <v>40</v>
      </c>
      <c r="P35" s="19"/>
      <c r="Q35" s="20"/>
      <c r="R35" s="21"/>
    </row>
    <row r="36" customFormat="false" ht="23.85" hidden="false" customHeight="false" outlineLevel="0" collapsed="false">
      <c r="A36" s="8" t="n">
        <v>35</v>
      </c>
      <c r="B36" s="8"/>
      <c r="C36" s="9" t="s">
        <v>303</v>
      </c>
      <c r="D36" s="8" t="s">
        <v>29</v>
      </c>
      <c r="E36" s="7" t="s">
        <v>304</v>
      </c>
      <c r="F36" s="7" t="s">
        <v>305</v>
      </c>
      <c r="G36" s="7" t="s">
        <v>306</v>
      </c>
      <c r="H36" s="7" t="s">
        <v>307</v>
      </c>
      <c r="I36" s="15" t="s">
        <v>308</v>
      </c>
      <c r="J36" s="16" t="s">
        <v>309</v>
      </c>
      <c r="K36" s="8" t="s">
        <v>310</v>
      </c>
      <c r="L36" s="17" t="n">
        <v>1.5</v>
      </c>
      <c r="M36" s="17" t="n">
        <v>4</v>
      </c>
      <c r="N36" s="7" t="s">
        <v>311</v>
      </c>
      <c r="O36" s="18" t="s">
        <v>40</v>
      </c>
      <c r="P36" s="19"/>
      <c r="Q36" s="20"/>
      <c r="R36" s="21"/>
    </row>
    <row r="37" customFormat="false" ht="35.05" hidden="false" customHeight="false" outlineLevel="0" collapsed="false">
      <c r="A37" s="8" t="n">
        <v>36</v>
      </c>
      <c r="B37" s="8"/>
      <c r="C37" s="9" t="s">
        <v>312</v>
      </c>
      <c r="D37" s="8" t="s">
        <v>29</v>
      </c>
      <c r="E37" s="7" t="s">
        <v>313</v>
      </c>
      <c r="F37" s="7" t="s">
        <v>132</v>
      </c>
      <c r="G37" s="7" t="s">
        <v>314</v>
      </c>
      <c r="H37" s="7" t="s">
        <v>315</v>
      </c>
      <c r="I37" s="15" t="s">
        <v>316</v>
      </c>
      <c r="J37" s="16" t="s">
        <v>82</v>
      </c>
      <c r="K37" s="8" t="s">
        <v>317</v>
      </c>
      <c r="L37" s="17" t="n">
        <v>1.5</v>
      </c>
      <c r="M37" s="17" t="n">
        <v>8</v>
      </c>
      <c r="N37" s="7" t="s">
        <v>318</v>
      </c>
      <c r="O37" s="18" t="s">
        <v>40</v>
      </c>
      <c r="P37" s="19"/>
      <c r="Q37" s="20"/>
      <c r="R37" s="21"/>
    </row>
    <row r="38" customFormat="false" ht="35.05" hidden="false" customHeight="false" outlineLevel="0" collapsed="false">
      <c r="A38" s="8" t="n">
        <v>37</v>
      </c>
      <c r="B38" s="22" t="s">
        <v>319</v>
      </c>
      <c r="C38" s="23" t="s">
        <v>320</v>
      </c>
      <c r="D38" s="8" t="s">
        <v>33</v>
      </c>
      <c r="E38" s="7" t="s">
        <v>321</v>
      </c>
      <c r="F38" s="7" t="s">
        <v>322</v>
      </c>
      <c r="G38" s="7" t="s">
        <v>323</v>
      </c>
      <c r="H38" s="7" t="s">
        <v>188</v>
      </c>
      <c r="I38" s="15" t="s">
        <v>324</v>
      </c>
      <c r="J38" s="16" t="s">
        <v>325</v>
      </c>
      <c r="K38" s="8" t="s">
        <v>326</v>
      </c>
      <c r="L38" s="17" t="n">
        <v>8</v>
      </c>
      <c r="M38" s="17" t="n">
        <v>39</v>
      </c>
      <c r="N38" s="7" t="s">
        <v>327</v>
      </c>
      <c r="O38" s="18" t="s">
        <v>40</v>
      </c>
      <c r="P38" s="19"/>
      <c r="Q38" s="20"/>
      <c r="R38" s="21"/>
    </row>
    <row r="39" customFormat="false" ht="23.85" hidden="false" customHeight="false" outlineLevel="0" collapsed="false">
      <c r="A39" s="8" t="n">
        <v>38</v>
      </c>
      <c r="B39" s="8"/>
      <c r="C39" s="9" t="s">
        <v>328</v>
      </c>
      <c r="D39" s="8" t="s">
        <v>33</v>
      </c>
      <c r="E39" s="7" t="s">
        <v>329</v>
      </c>
      <c r="F39" s="7" t="s">
        <v>132</v>
      </c>
      <c r="G39" s="7" t="s">
        <v>330</v>
      </c>
      <c r="H39" s="7" t="s">
        <v>80</v>
      </c>
      <c r="I39" s="15" t="s">
        <v>331</v>
      </c>
      <c r="J39" s="16" t="s">
        <v>30</v>
      </c>
      <c r="K39" s="8" t="s">
        <v>332</v>
      </c>
      <c r="L39" s="17" t="n">
        <v>10</v>
      </c>
      <c r="M39" s="17" t="n">
        <v>39</v>
      </c>
      <c r="N39" s="7" t="s">
        <v>333</v>
      </c>
      <c r="O39" s="18" t="s">
        <v>40</v>
      </c>
      <c r="P39" s="19"/>
      <c r="Q39" s="20"/>
      <c r="R39" s="21"/>
    </row>
    <row r="40" customFormat="false" ht="35.05" hidden="false" customHeight="false" outlineLevel="0" collapsed="false">
      <c r="A40" s="8" t="n">
        <v>39</v>
      </c>
      <c r="B40" s="22" t="s">
        <v>334</v>
      </c>
      <c r="C40" s="23" t="s">
        <v>335</v>
      </c>
      <c r="D40" s="8" t="s">
        <v>33</v>
      </c>
      <c r="E40" s="7" t="s">
        <v>336</v>
      </c>
      <c r="F40" s="7" t="s">
        <v>110</v>
      </c>
      <c r="G40" s="7" t="s">
        <v>337</v>
      </c>
      <c r="H40" s="7" t="s">
        <v>188</v>
      </c>
      <c r="I40" s="15" t="s">
        <v>338</v>
      </c>
      <c r="J40" s="16" t="s">
        <v>30</v>
      </c>
      <c r="K40" s="8" t="s">
        <v>191</v>
      </c>
      <c r="L40" s="17" t="n">
        <v>5</v>
      </c>
      <c r="M40" s="17" t="n">
        <v>25</v>
      </c>
      <c r="N40" s="7" t="s">
        <v>339</v>
      </c>
      <c r="O40" s="18" t="s">
        <v>40</v>
      </c>
      <c r="P40" s="19"/>
      <c r="Q40" s="20"/>
      <c r="R40" s="21"/>
    </row>
    <row r="41" customFormat="false" ht="23.85" hidden="false" customHeight="false" outlineLevel="0" collapsed="false">
      <c r="A41" s="8" t="n">
        <v>40</v>
      </c>
      <c r="B41" s="8"/>
      <c r="C41" s="9" t="s">
        <v>340</v>
      </c>
      <c r="D41" s="8" t="s">
        <v>33</v>
      </c>
      <c r="E41" s="7" t="s">
        <v>341</v>
      </c>
      <c r="F41" s="7" t="s">
        <v>132</v>
      </c>
      <c r="G41" s="7" t="s">
        <v>342</v>
      </c>
      <c r="H41" s="7" t="s">
        <v>72</v>
      </c>
      <c r="I41" s="15" t="s">
        <v>343</v>
      </c>
      <c r="J41" s="16" t="s">
        <v>344</v>
      </c>
      <c r="K41" s="8" t="s">
        <v>345</v>
      </c>
      <c r="L41" s="17" t="n">
        <v>5</v>
      </c>
      <c r="M41" s="17" t="n">
        <v>15</v>
      </c>
      <c r="N41" s="7" t="s">
        <v>346</v>
      </c>
      <c r="O41" s="18" t="s">
        <v>40</v>
      </c>
      <c r="P41" s="19"/>
      <c r="Q41" s="20"/>
      <c r="R41" s="21"/>
    </row>
    <row r="42" customFormat="false" ht="35.05" hidden="false" customHeight="false" outlineLevel="0" collapsed="false">
      <c r="A42" s="8" t="n">
        <v>41</v>
      </c>
      <c r="B42" s="8"/>
      <c r="C42" s="9" t="s">
        <v>347</v>
      </c>
      <c r="D42" s="8" t="s">
        <v>33</v>
      </c>
      <c r="E42" s="7" t="s">
        <v>236</v>
      </c>
      <c r="F42" s="7" t="s">
        <v>132</v>
      </c>
      <c r="G42" s="7" t="s">
        <v>348</v>
      </c>
      <c r="H42" s="7" t="s">
        <v>349</v>
      </c>
      <c r="I42" s="15" t="s">
        <v>350</v>
      </c>
      <c r="J42" s="16" t="s">
        <v>105</v>
      </c>
      <c r="K42" s="8" t="s">
        <v>351</v>
      </c>
      <c r="L42" s="17" t="n">
        <v>10</v>
      </c>
      <c r="M42" s="17" t="n">
        <v>25</v>
      </c>
      <c r="N42" s="7" t="s">
        <v>352</v>
      </c>
      <c r="O42" s="18" t="s">
        <v>40</v>
      </c>
      <c r="P42" s="19"/>
      <c r="Q42" s="20"/>
      <c r="R42" s="21"/>
    </row>
    <row r="43" customFormat="false" ht="35.05" hidden="false" customHeight="false" outlineLevel="0" collapsed="false">
      <c r="A43" s="8" t="n">
        <v>42</v>
      </c>
      <c r="B43" s="8"/>
      <c r="C43" s="9" t="s">
        <v>353</v>
      </c>
      <c r="D43" s="8" t="s">
        <v>33</v>
      </c>
      <c r="E43" s="7" t="s">
        <v>210</v>
      </c>
      <c r="F43" s="7" t="s">
        <v>70</v>
      </c>
      <c r="G43" s="7" t="s">
        <v>354</v>
      </c>
      <c r="H43" s="7" t="s">
        <v>205</v>
      </c>
      <c r="I43" s="15" t="s">
        <v>355</v>
      </c>
      <c r="J43" s="16" t="s">
        <v>356</v>
      </c>
      <c r="K43" s="8" t="s">
        <v>83</v>
      </c>
      <c r="L43" s="17" t="n">
        <v>3</v>
      </c>
      <c r="M43" s="17" t="n">
        <v>10</v>
      </c>
      <c r="N43" s="7" t="s">
        <v>357</v>
      </c>
      <c r="O43" s="18" t="s">
        <v>40</v>
      </c>
      <c r="P43" s="19"/>
      <c r="Q43" s="20"/>
      <c r="R43" s="21"/>
    </row>
    <row r="44" customFormat="false" ht="23.85" hidden="false" customHeight="false" outlineLevel="0" collapsed="false">
      <c r="A44" s="8" t="n">
        <v>43</v>
      </c>
      <c r="B44" s="8"/>
      <c r="C44" s="9" t="s">
        <v>358</v>
      </c>
      <c r="D44" s="8" t="s">
        <v>33</v>
      </c>
      <c r="E44" s="7" t="s">
        <v>131</v>
      </c>
      <c r="F44" s="7" t="s">
        <v>132</v>
      </c>
      <c r="G44" s="7" t="s">
        <v>359</v>
      </c>
      <c r="H44" s="7" t="s">
        <v>219</v>
      </c>
      <c r="I44" s="15" t="s">
        <v>360</v>
      </c>
      <c r="J44" s="16" t="s">
        <v>182</v>
      </c>
      <c r="K44" s="8" t="s">
        <v>345</v>
      </c>
      <c r="L44" s="17" t="n">
        <v>5</v>
      </c>
      <c r="M44" s="17" t="n">
        <v>15</v>
      </c>
      <c r="N44" s="7" t="s">
        <v>361</v>
      </c>
      <c r="O44" s="18" t="s">
        <v>40</v>
      </c>
      <c r="P44" s="19"/>
      <c r="Q44" s="20"/>
      <c r="R44" s="21"/>
    </row>
    <row r="45" customFormat="false" ht="23.85" hidden="false" customHeight="false" outlineLevel="0" collapsed="false">
      <c r="A45" s="8" t="n">
        <v>44</v>
      </c>
      <c r="B45" s="8"/>
      <c r="C45" s="9" t="s">
        <v>362</v>
      </c>
      <c r="D45" s="8" t="s">
        <v>33</v>
      </c>
      <c r="E45" s="7" t="s">
        <v>363</v>
      </c>
      <c r="F45" s="7" t="s">
        <v>94</v>
      </c>
      <c r="G45" s="7" t="s">
        <v>364</v>
      </c>
      <c r="H45" s="7" t="s">
        <v>365</v>
      </c>
      <c r="I45" s="15" t="s">
        <v>366</v>
      </c>
      <c r="J45" s="16" t="s">
        <v>26</v>
      </c>
      <c r="K45" s="8" t="s">
        <v>367</v>
      </c>
      <c r="L45" s="17" t="n">
        <v>2</v>
      </c>
      <c r="M45" s="17" t="n">
        <v>39</v>
      </c>
      <c r="N45" s="7" t="s">
        <v>368</v>
      </c>
      <c r="O45" s="18" t="s">
        <v>40</v>
      </c>
      <c r="P45" s="19"/>
      <c r="Q45" s="20"/>
      <c r="R45" s="21"/>
    </row>
    <row r="46" customFormat="false" ht="35.05" hidden="false" customHeight="false" outlineLevel="0" collapsed="false">
      <c r="A46" s="8" t="n">
        <v>45</v>
      </c>
      <c r="B46" s="22" t="s">
        <v>369</v>
      </c>
      <c r="C46" s="23" t="s">
        <v>370</v>
      </c>
      <c r="D46" s="8" t="s">
        <v>33</v>
      </c>
      <c r="E46" s="7" t="s">
        <v>321</v>
      </c>
      <c r="F46" s="7" t="s">
        <v>110</v>
      </c>
      <c r="G46" s="7" t="s">
        <v>371</v>
      </c>
      <c r="H46" s="7" t="s">
        <v>188</v>
      </c>
      <c r="I46" s="15" t="s">
        <v>372</v>
      </c>
      <c r="J46" s="16" t="s">
        <v>182</v>
      </c>
      <c r="K46" s="8" t="s">
        <v>373</v>
      </c>
      <c r="L46" s="17" t="n">
        <v>10</v>
      </c>
      <c r="M46" s="17" t="n">
        <v>49</v>
      </c>
      <c r="N46" s="7" t="s">
        <v>374</v>
      </c>
      <c r="O46" s="18" t="s">
        <v>40</v>
      </c>
      <c r="P46" s="19"/>
      <c r="Q46" s="20"/>
      <c r="R46" s="21"/>
    </row>
    <row r="47" customFormat="false" ht="35.05" hidden="false" customHeight="false" outlineLevel="0" collapsed="false">
      <c r="A47" s="8" t="n">
        <v>46</v>
      </c>
      <c r="B47" s="22" t="s">
        <v>375</v>
      </c>
      <c r="C47" s="23" t="s">
        <v>376</v>
      </c>
      <c r="D47" s="8" t="s">
        <v>31</v>
      </c>
      <c r="E47" s="7" t="s">
        <v>377</v>
      </c>
      <c r="F47" s="7" t="s">
        <v>145</v>
      </c>
      <c r="G47" s="7" t="s">
        <v>378</v>
      </c>
      <c r="H47" s="7" t="s">
        <v>307</v>
      </c>
      <c r="I47" s="15" t="s">
        <v>379</v>
      </c>
      <c r="J47" s="16" t="s">
        <v>26</v>
      </c>
      <c r="K47" s="8" t="s">
        <v>228</v>
      </c>
      <c r="L47" s="17" t="n">
        <v>5</v>
      </c>
      <c r="M47" s="17" t="n">
        <v>20</v>
      </c>
      <c r="N47" s="7" t="s">
        <v>380</v>
      </c>
      <c r="O47" s="18" t="s">
        <v>40</v>
      </c>
      <c r="P47" s="19"/>
      <c r="Q47" s="20"/>
      <c r="R47" s="21"/>
    </row>
    <row r="48" customFormat="false" ht="23.85" hidden="false" customHeight="false" outlineLevel="0" collapsed="false">
      <c r="A48" s="8" t="n">
        <v>47</v>
      </c>
      <c r="B48" s="22" t="s">
        <v>381</v>
      </c>
      <c r="C48" s="23" t="s">
        <v>382</v>
      </c>
      <c r="D48" s="8" t="s">
        <v>31</v>
      </c>
      <c r="E48" s="7" t="s">
        <v>131</v>
      </c>
      <c r="F48" s="7" t="s">
        <v>132</v>
      </c>
      <c r="G48" s="7" t="s">
        <v>383</v>
      </c>
      <c r="H48" s="7" t="s">
        <v>219</v>
      </c>
      <c r="I48" s="15" t="s">
        <v>360</v>
      </c>
      <c r="J48" s="16" t="s">
        <v>182</v>
      </c>
      <c r="K48" s="8" t="s">
        <v>83</v>
      </c>
      <c r="L48" s="17" t="n">
        <v>3</v>
      </c>
      <c r="M48" s="17" t="n">
        <v>10</v>
      </c>
      <c r="N48" s="7" t="s">
        <v>384</v>
      </c>
      <c r="O48" s="18" t="s">
        <v>40</v>
      </c>
      <c r="P48" s="19"/>
      <c r="Q48" s="20"/>
      <c r="R48" s="21"/>
    </row>
    <row r="49" customFormat="false" ht="23.85" hidden="false" customHeight="false" outlineLevel="0" collapsed="false">
      <c r="A49" s="8" t="n">
        <v>48</v>
      </c>
      <c r="B49" s="8"/>
      <c r="C49" s="9" t="s">
        <v>385</v>
      </c>
      <c r="D49" s="8" t="s">
        <v>31</v>
      </c>
      <c r="E49" s="7" t="s">
        <v>386</v>
      </c>
      <c r="F49" s="7" t="s">
        <v>70</v>
      </c>
      <c r="G49" s="7" t="s">
        <v>387</v>
      </c>
      <c r="H49" s="7" t="s">
        <v>72</v>
      </c>
      <c r="I49" s="15" t="s">
        <v>388</v>
      </c>
      <c r="J49" s="16" t="s">
        <v>28</v>
      </c>
      <c r="K49" s="8" t="s">
        <v>389</v>
      </c>
      <c r="L49" s="17" t="n">
        <v>1.8</v>
      </c>
      <c r="M49" s="17" t="n">
        <v>13</v>
      </c>
      <c r="N49" s="7" t="s">
        <v>390</v>
      </c>
      <c r="O49" s="18" t="s">
        <v>40</v>
      </c>
      <c r="P49" s="19"/>
      <c r="Q49" s="20"/>
      <c r="R49" s="21"/>
    </row>
    <row r="50" customFormat="false" ht="23.85" hidden="false" customHeight="false" outlineLevel="0" collapsed="false">
      <c r="A50" s="8" t="n">
        <v>49</v>
      </c>
      <c r="B50" s="8"/>
      <c r="C50" s="9" t="s">
        <v>391</v>
      </c>
      <c r="D50" s="8" t="s">
        <v>31</v>
      </c>
      <c r="E50" s="7" t="s">
        <v>392</v>
      </c>
      <c r="F50" s="7" t="s">
        <v>94</v>
      </c>
      <c r="G50" s="7" t="s">
        <v>393</v>
      </c>
      <c r="H50" s="7" t="s">
        <v>80</v>
      </c>
      <c r="I50" s="15" t="s">
        <v>394</v>
      </c>
      <c r="J50" s="16" t="s">
        <v>28</v>
      </c>
      <c r="K50" s="8" t="s">
        <v>83</v>
      </c>
      <c r="L50" s="17" t="n">
        <v>3</v>
      </c>
      <c r="M50" s="17" t="n">
        <v>10</v>
      </c>
      <c r="N50" s="7" t="s">
        <v>395</v>
      </c>
      <c r="O50" s="18" t="s">
        <v>40</v>
      </c>
      <c r="P50" s="19"/>
      <c r="Q50" s="20"/>
      <c r="R50" s="21"/>
    </row>
    <row r="51" customFormat="false" ht="23.85" hidden="false" customHeight="false" outlineLevel="0" collapsed="false">
      <c r="A51" s="8" t="n">
        <v>50</v>
      </c>
      <c r="B51" s="8"/>
      <c r="C51" s="9" t="s">
        <v>396</v>
      </c>
      <c r="D51" s="8" t="s">
        <v>31</v>
      </c>
      <c r="E51" s="7" t="s">
        <v>397</v>
      </c>
      <c r="F51" s="7" t="s">
        <v>110</v>
      </c>
      <c r="G51" s="7" t="s">
        <v>398</v>
      </c>
      <c r="H51" s="7" t="s">
        <v>399</v>
      </c>
      <c r="I51" s="15" t="s">
        <v>400</v>
      </c>
      <c r="J51" s="16" t="s">
        <v>401</v>
      </c>
      <c r="K51" s="8" t="s">
        <v>402</v>
      </c>
      <c r="L51" s="17" t="n">
        <v>3</v>
      </c>
      <c r="M51" s="17" t="n">
        <v>12</v>
      </c>
      <c r="N51" s="7" t="s">
        <v>403</v>
      </c>
      <c r="O51" s="18" t="s">
        <v>40</v>
      </c>
      <c r="P51" s="19"/>
      <c r="Q51" s="20"/>
      <c r="R51" s="21"/>
    </row>
    <row r="53" customFormat="false" ht="15" hidden="false" customHeight="false" outlineLevel="0" collapsed="false">
      <c r="C53" s="14" t="s">
        <v>404</v>
      </c>
    </row>
  </sheetData>
  <autoFilter ref="A1:R51"/>
  <conditionalFormatting sqref="J2:J51">
    <cfRule type="expression" priority="2" aboveAverage="0" equalAverage="0" bottom="0" percent="0" rank="0" text="" dxfId="11">
      <formula>LEFT($J2,9)="Very high"</formula>
    </cfRule>
    <cfRule type="expression" priority="3" aboveAverage="0" equalAverage="0" bottom="0" percent="0" rank="0" text="" dxfId="12">
      <formula>LEFT($J2,4)="High"</formula>
    </cfRule>
    <cfRule type="expression" priority="4" aboveAverage="0" equalAverage="0" bottom="0" percent="0" rank="0" text="" dxfId="13">
      <formula>LEFT($J2,6)="Medium"</formula>
    </cfRule>
    <cfRule type="expression" priority="5" aboveAverage="0" equalAverage="0" bottom="0" percent="0" rank="0" text="" dxfId="14">
      <formula>LEFT($J2,3)="Low"</formula>
    </cfRule>
  </conditionalFormatting>
  <conditionalFormatting sqref="O2:O51">
    <cfRule type="expression" priority="6" aboveAverage="0" equalAverage="0" bottom="0" percent="0" rank="0" text="" dxfId="15">
      <formula>OR($O2="Listed",$O2="Best seller")</formula>
    </cfRule>
  </conditionalFormatting>
  <dataValidations count="1">
    <dataValidation allowBlank="true" errorStyle="stop" operator="between" showDropDown="false" showErrorMessage="false" showInputMessage="false" sqref="O2:O51" type="list">
      <formula1>"Idea,Banana hai,In progress,Listed,Best seller,Skip"</formula1>
      <formula2>0</formula2>
    </dataValidation>
  </dataValidations>
  <hyperlinks>
    <hyperlink ref="I2" r:id="rId1" display="https://www.etsy.com/market/christmas_party_games"/>
    <hyperlink ref="I3" r:id="rId2" display="https://www.etsy.com/market/company_party_christmas_games"/>
    <hyperlink ref="I4" r:id="rId3" display="https://www.etsy.com/market/elf_shelf_printables"/>
    <hyperlink ref="I5" r:id="rId4" display="https://help.erank.com/blog/australias-top-etsy-keywords-november-2024/"/>
    <hyperlink ref="I6" r:id="rId5" display="https://www.etsy.com/listing/1536858646/advent-calendar-printable-christmas"/>
    <hyperlink ref="I7" r:id="rId6" display="https://www.insightagent.app/guides/best-selling-printables-on-etsy"/>
    <hyperlink ref="I8" r:id="rId7" display="https://www.etsy.com/listing/1339802318/hanukkah-dreidel-game-hanukkah-preschool"/>
    <hyperlink ref="I9" r:id="rId8" display="https://www.etsy.com/listing/1630186716/new-years-eve-games-2026-new-years-games"/>
    <hyperlink ref="I10" r:id="rId9" display="https://www.etsy.com/market/2026_book_bingo"/>
    <hyperlink ref="I11" r:id="rId10" display="https://www.etsy.com/listing/1392165175/printable-2027-calendar-12-page-pdf"/>
    <hyperlink ref="I12" r:id="rId11" display="https://www.etsy.com/market/printable_reward_chart"/>
    <hyperlink ref="I13" r:id="rId12" display="https://www.etsy.com/market/classroom_valentine_cards"/>
    <hyperlink ref="I14" r:id="rId13" display="https://www.etsy.com/market/galentines_day_party_games"/>
    <hyperlink ref="I15" r:id="rId14" display="https://www.foxla.com/news/2027-super-bowl-lxi-sofi-staduim-los-angeles"/>
    <hyperlink ref="I16" r:id="rId15" display="https://www.etsy.com/market/ramadan_printables"/>
    <hyperlink ref="I17" r:id="rId16" display="https://www.etsy.com/listing/1652375877/lunar-new-year-red-envelope-coloring"/>
    <hyperlink ref="I18" r:id="rId17" display="https://www.rankhero.com/keywords/budget-tracker-spreadsheet"/>
    <hyperlink ref="I19" r:id="rId18" display="https://www.etsy.com/listing/1473595073/budget-planner-for-google-sheets-monthly"/>
    <hyperlink ref="I20" r:id="rId19" display="https://www.etsy.com/market/budgeting_template_with_sinking_funds?page=3"/>
    <hyperlink ref="I21" r:id="rId20" display="https://snazzydesignsforever.com/etsy-seo-low-competition-keywords-for-2025/"/>
    <hyperlink ref="I22" r:id="rId21" display="https://www.etsy.com/listing/1796870517"/>
    <hyperlink ref="I23" r:id="rId22" display="https://www.rankhero.com/keywords/tax-tracker"/>
    <hyperlink ref="I24" r:id="rId23" display="https://serenatasstore.gumroad.com/l/etsysellershub"/>
    <hyperlink ref="I25" r:id="rId24" display="https://www.etsy.com/market/weight_loss_tracker_best_sellers"/>
    <hyperlink ref="I26" r:id="rId25" display="https://digimarcon.com/new-national-analysis-reveals-when-americans-are-most-likely-to-get-engaged-and-when-wedding-planning-peaks"/>
    <hyperlink ref="I27" r:id="rId26" display="https://www.etsy.com/market/habit_tracker_google_sheet"/>
    <hyperlink ref="I28" r:id="rId27" display="https://help.erank.com/blog/top-keywords-on-etsy-october-2025/"/>
    <hyperlink ref="I29" r:id="rId28" display="https://help.erank.com/blog/australias-top-etsy-keywords-november-2025/"/>
    <hyperlink ref="I30" r:id="rId29" display="https://community.etsy.com/forum/etsy-success-300/topic/etsy-insights-etsy-trend-edit-fallwinter-26-190171/"/>
    <hyperlink ref="I31" r:id="rId30" display="https://help.erank.com/blog/top-keywords-on-etsy-december-2025/"/>
    <hyperlink ref="I32" r:id="rId31" display="https://community.etsy.com/forum/etsy-success-300/topic/etsy-insights-etsy-trend-edit-fallwinter-26-190171/"/>
    <hyperlink ref="I33" r:id="rId32" display="https://www.etsy.com/seller-handbook/article/1521255894814"/>
    <hyperlink ref="I34" r:id="rId33" display="https://howtosellyourstuff.substack.com/p/tuesday-shop-talk-holiday-trends"/>
    <hyperlink ref="I35" r:id="rId34" display="https://designbundles.net/mypaperthings/6264272-hello-new-year-2026-svg-2026-png-new-year-shirt-sv"/>
    <hyperlink ref="I36" r:id="rId35" display="https://www.rankhero.com/keywords/valentine-day-png"/>
    <hyperlink ref="I37" r:id="rId36" display="https://help.erank.com/blog/the-uks-top-etsy-keywords-december-2025/"/>
    <hyperlink ref="I38" r:id="rId37" display="https://www.rankhero.com/keywords/2026-planner"/>
    <hyperlink ref="I39" r:id="rId38" display="https://www.etsy.com/market/onenote"/>
    <hyperlink ref="I40" r:id="rId39" display="https://www.rankhero.com/keywords/adhd-planner"/>
    <hyperlink ref="I41" r:id="rId40" display="https://www.etsy.com/listing/4379779892"/>
    <hyperlink ref="I42" r:id="rId41" display="https://www.theknot.com/content/popular-day-to-get-engaged"/>
    <hyperlink ref="I43" r:id="rId42" display="https://snazzydesignsforever.com/seasonal-digital-products-to-sell-on-etsy/"/>
    <hyperlink ref="I44" r:id="rId43" display="https://www.rankhero.com/keywords/vision-board"/>
    <hyperlink ref="I45" r:id="rId44" display="https://www.etsy.com/market/2026_2027_digital_planner"/>
    <hyperlink ref="I46" r:id="rId45" display="https://www.rankhero.com/keywords/remarkable-templates"/>
    <hyperlink ref="I47" r:id="rId46" display="https://www.rankhero.com/keywords/resume-template"/>
    <hyperlink ref="I48" r:id="rId47" display="https://www.rankhero.com/keywords/vision-board"/>
    <hyperlink ref="I49" r:id="rId48" display="https://www.etsy.com/market/christmas_family_feud"/>
    <hyperlink ref="I50" r:id="rId49" display="https://etsy.com/shop/quirkprintablesco"/>
    <hyperlink ref="I51" r:id="rId50" display="https://www.getprintbox.com/blog/seasonality-of-photo-produc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  <col collapsed="false" customWidth="true" hidden="false" outlineLevel="0" max="3" min="3" style="0" width="5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6" t="s">
        <v>405</v>
      </c>
      <c r="B1" s="6" t="s">
        <v>406</v>
      </c>
      <c r="C1" s="6" t="s">
        <v>407</v>
      </c>
      <c r="D1" s="6" t="s">
        <v>408</v>
      </c>
    </row>
    <row r="2" customFormat="false" ht="35.05" hidden="false" customHeight="false" outlineLevel="0" collapsed="false">
      <c r="A2" s="24" t="s">
        <v>409</v>
      </c>
      <c r="B2" s="7" t="s">
        <v>410</v>
      </c>
      <c r="C2" s="7" t="s">
        <v>411</v>
      </c>
      <c r="D2" s="18" t="s">
        <v>412</v>
      </c>
    </row>
    <row r="3" customFormat="false" ht="23.85" hidden="false" customHeight="false" outlineLevel="0" collapsed="false">
      <c r="A3" s="10" t="s">
        <v>413</v>
      </c>
      <c r="B3" s="7" t="s">
        <v>414</v>
      </c>
      <c r="C3" s="7" t="s">
        <v>415</v>
      </c>
      <c r="D3" s="18" t="s">
        <v>412</v>
      </c>
    </row>
    <row r="4" customFormat="false" ht="15" hidden="false" customHeight="false" outlineLevel="0" collapsed="false">
      <c r="A4" s="10" t="s">
        <v>416</v>
      </c>
      <c r="B4" s="7" t="s">
        <v>417</v>
      </c>
      <c r="C4" s="7" t="s">
        <v>418</v>
      </c>
      <c r="D4" s="18" t="s">
        <v>412</v>
      </c>
    </row>
    <row r="5" customFormat="false" ht="23.85" hidden="false" customHeight="false" outlineLevel="0" collapsed="false">
      <c r="A5" s="10" t="s">
        <v>419</v>
      </c>
      <c r="B5" s="7" t="s">
        <v>420</v>
      </c>
      <c r="C5" s="7" t="s">
        <v>421</v>
      </c>
      <c r="D5" s="18" t="s">
        <v>412</v>
      </c>
    </row>
    <row r="6" customFormat="false" ht="23.85" hidden="false" customHeight="false" outlineLevel="0" collapsed="false">
      <c r="A6" s="10" t="s">
        <v>422</v>
      </c>
      <c r="B6" s="7" t="s">
        <v>423</v>
      </c>
      <c r="C6" s="7" t="s">
        <v>424</v>
      </c>
      <c r="D6" s="18" t="s">
        <v>412</v>
      </c>
    </row>
    <row r="7" customFormat="false" ht="23.85" hidden="false" customHeight="false" outlineLevel="0" collapsed="false">
      <c r="A7" s="10" t="s">
        <v>425</v>
      </c>
      <c r="B7" s="7" t="s">
        <v>426</v>
      </c>
      <c r="C7" s="7" t="s">
        <v>427</v>
      </c>
      <c r="D7" s="18" t="s">
        <v>412</v>
      </c>
    </row>
    <row r="8" customFormat="false" ht="23.85" hidden="false" customHeight="false" outlineLevel="0" collapsed="false">
      <c r="A8" s="10" t="s">
        <v>428</v>
      </c>
      <c r="B8" s="7" t="s">
        <v>429</v>
      </c>
      <c r="C8" s="7" t="s">
        <v>430</v>
      </c>
      <c r="D8" s="18" t="s">
        <v>412</v>
      </c>
    </row>
    <row r="9" customFormat="false" ht="23.85" hidden="false" customHeight="false" outlineLevel="0" collapsed="false">
      <c r="A9" s="10" t="s">
        <v>431</v>
      </c>
      <c r="B9" s="7" t="s">
        <v>432</v>
      </c>
      <c r="C9" s="7" t="s">
        <v>433</v>
      </c>
      <c r="D9" s="18" t="s">
        <v>412</v>
      </c>
    </row>
    <row r="10" customFormat="false" ht="23.85" hidden="false" customHeight="false" outlineLevel="0" collapsed="false">
      <c r="A10" s="10" t="s">
        <v>434</v>
      </c>
      <c r="B10" s="7" t="s">
        <v>435</v>
      </c>
      <c r="C10" s="7" t="s">
        <v>436</v>
      </c>
      <c r="D10" s="18" t="s">
        <v>412</v>
      </c>
    </row>
    <row r="11" customFormat="false" ht="23.85" hidden="false" customHeight="false" outlineLevel="0" collapsed="false">
      <c r="A11" s="10" t="s">
        <v>437</v>
      </c>
      <c r="B11" s="7" t="s">
        <v>438</v>
      </c>
      <c r="C11" s="7" t="s">
        <v>439</v>
      </c>
      <c r="D11" s="18" t="s">
        <v>412</v>
      </c>
    </row>
    <row r="12" customFormat="false" ht="35.05" hidden="false" customHeight="false" outlineLevel="0" collapsed="false">
      <c r="A12" s="10" t="s">
        <v>440</v>
      </c>
      <c r="B12" s="7" t="s">
        <v>441</v>
      </c>
      <c r="C12" s="7" t="s">
        <v>442</v>
      </c>
      <c r="D12" s="18" t="s">
        <v>412</v>
      </c>
    </row>
    <row r="13" customFormat="false" ht="23.85" hidden="false" customHeight="false" outlineLevel="0" collapsed="false">
      <c r="A13" s="10" t="s">
        <v>443</v>
      </c>
      <c r="B13" s="7" t="s">
        <v>444</v>
      </c>
      <c r="C13" s="7" t="s">
        <v>445</v>
      </c>
      <c r="D13" s="18" t="s">
        <v>412</v>
      </c>
    </row>
    <row r="15" customFormat="false" ht="15" hidden="false" customHeight="false" outlineLevel="0" collapsed="false">
      <c r="A15" s="14" t="s">
        <v>446</v>
      </c>
    </row>
  </sheetData>
  <dataValidations count="1">
    <dataValidation allowBlank="true" errorStyle="stop" operator="between" showDropDown="false" showErrorMessage="false" showInputMessage="false" sqref="D2:D13" type="list">
      <formula1>"To do,Done"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2026-10-21T21:46:24Z</dcterms:created>
  <dc:creator>openpyxl</dc:creator>
  <dc:description/>
  <dc:language>en-US</dc:language>
  <cp:lastModifiedBy/>
  <dcterms:modified xsi:type="dcterms:W3CDTF">2026-10-21T21:46:28Z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